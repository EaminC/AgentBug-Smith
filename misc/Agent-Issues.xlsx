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ummary" sheetId="1" r:id="rId4"/>
    <sheet state="visible" name="RQ2" sheetId="2" r:id="rId5"/>
    <sheet state="visible" name="RQ2（Eamin）" sheetId="3" r:id="rId6"/>
    <sheet state="visible" name="Summary" sheetId="4" r:id="rId7"/>
    <sheet state="visible" name="SE Agent Experiment" sheetId="5" r:id="rId8"/>
    <sheet state="visible" name="Agent Harness Components" sheetId="6" r:id="rId9"/>
    <sheet state="visible" name="Agent Distribution - GPT" sheetId="7" r:id="rId10"/>
    <sheet state="visible" name="Agent Distribution - Deepseek" sheetId="8" r:id="rId11"/>
    <sheet state="visible" name="Agent Distribution - Kimi" sheetId="9" r:id="rId12"/>
    <sheet state="visible" name="Summary of Experiments" sheetId="10" r:id="rId13"/>
    <sheet state="hidden" name="Misc" sheetId="11" r:id="rId14"/>
    <sheet state="hidden" name="List of Agent Repo（副本）" sheetId="12" r:id="rId15"/>
    <sheet state="hidden" name="New List" sheetId="13" r:id="rId16"/>
    <sheet state="hidden" name="gpt-4.1-mini" sheetId="14" r:id="rId17"/>
    <sheet state="hidden" name="claude-opus-4-6" sheetId="15" r:id="rId18"/>
    <sheet state="hidden" name="deepsek-v3" sheetId="16" r:id="rId19"/>
    <sheet state="hidden" name="List of Issues" sheetId="17" r:id="rId20"/>
  </sheets>
  <definedNames>
    <definedName hidden="1" localSheetId="9" name="_xlnm._FilterDatabase">'Summary of Experiments'!$A$310:$E$393</definedName>
  </definedNames>
  <calcPr/>
  <extLst>
    <ext uri="GoogleSheetsCustomDataVersion2">
      <go:sheetsCustomData xmlns:go="http://customooxmlschemas.google.com/" r:id="rId21" roundtripDataChecksum="KlD1f7Co0aBFnpxrZt2fHLfNKmEErS3L5Jsj2lT/LPY="/>
    </ext>
  </extLst>
</workbook>
</file>

<file path=xl/sharedStrings.xml><?xml version="1.0" encoding="utf-8"?>
<sst xmlns="http://schemas.openxmlformats.org/spreadsheetml/2006/main" count="8138" uniqueCount="1299">
  <si>
    <t>Main Benchmark</t>
  </si>
  <si>
    <t>Total Issues: 225</t>
  </si>
  <si>
    <t>Total F2P: 75</t>
  </si>
  <si>
    <t>By Models</t>
  </si>
  <si>
    <t>issue_number</t>
  </si>
  <si>
    <t>url</t>
  </si>
  <si>
    <t>Alfin</t>
  </si>
  <si>
    <t>Yiming</t>
  </si>
  <si>
    <t>Human Golden</t>
  </si>
  <si>
    <t>Model: gpt-4.1-mini</t>
  </si>
  <si>
    <t>https://github.com/EaminC/AgentBug-Smith/tree/main/results/all_combined_f2p/issue_3828_20260525T192413Z</t>
  </si>
  <si>
    <t>Yes</t>
  </si>
  <si>
    <t>No</t>
  </si>
  <si>
    <t>No.</t>
  </si>
  <si>
    <t>https://github.com/EaminC/AgentBug-Smith/tree/main/results/all_combined_f2p/issue_1020_20260814T120504Z</t>
  </si>
  <si>
    <t>Pipeline</t>
  </si>
  <si>
    <t>F2P App (w/ in-Patch)</t>
  </si>
  <si>
    <t>F2P App (w/o in-patch)</t>
  </si>
  <si>
    <t>F2P App</t>
  </si>
  <si>
    <t>F2P Framework (w/ in-Patch)</t>
  </si>
  <si>
    <t>F2P Framework (w/o in-patch)</t>
  </si>
  <si>
    <t>F2P Framework</t>
  </si>
  <si>
    <t>Total F2P (w/ in-patch)</t>
  </si>
  <si>
    <t>Total F2P (w/o in-patch)</t>
  </si>
  <si>
    <t>Total F2P</t>
  </si>
  <si>
    <t>Avg. Duration</t>
  </si>
  <si>
    <t>Avg. Cost</t>
  </si>
  <si>
    <t>Avg. Token Consumption</t>
  </si>
  <si>
    <t>Env. build</t>
  </si>
  <si>
    <t>Avg. Input Token</t>
  </si>
  <si>
    <t>Avg. Output Token</t>
  </si>
  <si>
    <t>AgentBug-Smith</t>
  </si>
  <si>
    <t>Y</t>
  </si>
  <si>
    <t>https://github.com/EaminC/AgentBug-Smith/tree/main/results/all_combined_f2p/issue_1297_20260624T043153Z</t>
  </si>
  <si>
    <t>https://github.com/EaminC/AgentBug-Smith/blob/main/data/issues_80/issue_1037.json</t>
  </si>
  <si>
    <t>https://github.com/EaminC/AgentBug-Smith/tree/main/results/all_combined_f2p/issue_1112_20260623T030619Z</t>
  </si>
  <si>
    <t>GPT-4.1-mini</t>
  </si>
  <si>
    <t>https://github.com/EaminC/AgentBug-Smith/tree/main/results/all_combined_f2p/issue_71_20260510T083954Z</t>
  </si>
  <si>
    <t>Official price:</t>
  </si>
  <si>
    <t>$0.4 - input token/1M</t>
  </si>
  <si>
    <t>58m 10s</t>
  </si>
  <si>
    <t>N</t>
  </si>
  <si>
    <t>https://github.com/EaminC/AgentBug-Smith/tree/main/results/all_combined_f2p/issue_1067_20260814T123127Z</t>
  </si>
  <si>
    <t>https://github.com/EaminC/AgentBug-Smith/tree/main/results/all_combined_f2p/issue_1765_20260729T112754Z</t>
  </si>
  <si>
    <t>$1.6 - output token/1M</t>
  </si>
  <si>
    <t>SWE-Factory</t>
  </si>
  <si>
    <t>https://github.com/EaminC/AgentBug-Smith/tree/main/results/all_combined_f2p/issue_1714_20260818T071421Z</t>
  </si>
  <si>
    <t>https://github.com/EaminC/AgentBug-Smith/blob/main/data/issues_80/issue_109.json</t>
  </si>
  <si>
    <t>5m 45s</t>
  </si>
  <si>
    <t>https://github.com/EaminC/AgentBug-Smith/tree/main/results/all_combined_f2p/issue_1702_20260818T063539Z</t>
  </si>
  <si>
    <t>SWE-bench-Live</t>
  </si>
  <si>
    <t>https://github.com/EaminC/AgentBug-Smith/tree/main/results/all_combined_f2p/issue_1439_20260802T002117Z</t>
  </si>
  <si>
    <t>22m 19s</t>
  </si>
  <si>
    <t>Model: Deepseek-v3.2</t>
  </si>
  <si>
    <t>https://github.com/EaminC/AgentBug-Smith/blob/main/data/issues_80/issue_1129.json</t>
  </si>
  <si>
    <t>https://github.com/EaminC/AgentBug-Smith/tree/main/results/all_combined_f2p/issue_70_20260512T041132Z</t>
  </si>
  <si>
    <t>https://github.com/EaminC/AgentBug-Smith/tree/main/results/all_combined_f2p/issue_1280_20260717T161006Z</t>
  </si>
  <si>
    <t>https://github.com/EaminC/AgentBug-Smith/tree/main/results/all_combined_f2p/issue_1115_20260707T180736Z</t>
  </si>
  <si>
    <t>76m 26s</t>
  </si>
  <si>
    <t>https://github.com/EaminC/AgentBug-Smith/blob/main/data/issues_80/issue_1136.json</t>
  </si>
  <si>
    <t>https://github.com/EaminC/AgentBug-Smith/tree/main/results/all_combined_f2p/issue_529_20260813T191356Z</t>
  </si>
  <si>
    <t>https://github.com/EaminC/AgentBug-Smith/tree/main/results/all_combined_f2p/issue_1131_20260814T215507Z</t>
  </si>
  <si>
    <t>https://github.com/EaminC/AgentBug-Smith/blob/main/data/issues_80/issue_1197.json</t>
  </si>
  <si>
    <t>6m 27s</t>
  </si>
  <si>
    <t>https://github.com/EaminC/AgentBug-Smith/tree/main/results/all_combined_f2p/issue_2910_20260826T221655Z</t>
  </si>
  <si>
    <t>Total labelled issues</t>
  </si>
  <si>
    <t>https://github.com/EaminC/AgentBug-Smith/tree/main/results/all_combined_f2p/issue_1136_20260511T024303Z</t>
  </si>
  <si>
    <t>17m 22s</t>
  </si>
  <si>
    <t>https://github.com/EaminC/AgentBug-Smith/blob/main/data/issues_80/issue_121.json</t>
  </si>
  <si>
    <t>https://github.com/EaminC/AgentBug-Smith/tree/main/results/all_combined_f2p/issue_1222_20260617T122512Z</t>
  </si>
  <si>
    <t>https://github.com/EaminC/AgentBug-Smith/tree/main/results/all_combined_f2p/issue_1158_20260814T222448Z</t>
  </si>
  <si>
    <t>Model: Kimi-k2.5</t>
  </si>
  <si>
    <t>https://github.com/EaminC/AgentBug-Smith/tree/main/results/all_combined_f2p/issue_3391_20260523T120852Z</t>
  </si>
  <si>
    <t>*calc token by sampling 5 issues</t>
  </si>
  <si>
    <t>https://github.com/EaminC/AgentBug-Smith/blob/main/data/issues_80/issue_1222.json</t>
  </si>
  <si>
    <t>Observed agreement</t>
  </si>
  <si>
    <t>https://github.com/EaminC/AgentBug-Smith/tree/main/results/all_combined_f2p/issue_2179_20260811T161844Z</t>
  </si>
  <si>
    <t>https://github.com/EaminC/AgentBug-Smith/tree/main/results/all_combined_f2p/issue_1176_20260815T110931Z</t>
  </si>
  <si>
    <t>57m 15s</t>
  </si>
  <si>
    <t>https://github.com/EaminC/AgentBug-Smith/blob/main/data/issues_80/issue_1277.json</t>
  </si>
  <si>
    <t>https://github.com/EaminC/AgentBug-Smith/tree/main/results/all_combined_f2p/issue_1197_20260815T160749Z</t>
  </si>
  <si>
    <t>https://github.com/EaminC/AgentBug-Smith/blob/main/data/issues_80/issue_1280.json</t>
  </si>
  <si>
    <t>4m 48s</t>
  </si>
  <si>
    <t>Alfiin: Yes</t>
  </si>
  <si>
    <t>Alfin: No</t>
  </si>
  <si>
    <t>https://github.com/EaminC/AgentBug-Smith/tree/main/results/all_combined_f2p/issue_1208_20260816T000846Z</t>
  </si>
  <si>
    <t>https://github.com/EaminC/AgentBug-Smith/tree/main/results/all_combined_f2p/issue_1260_20260816T160950Z</t>
  </si>
  <si>
    <t>25m 14s</t>
  </si>
  <si>
    <t>https://github.com/EaminC/AgentBug-Smith/blob/main/data/issues_80/issue_137.json</t>
  </si>
  <si>
    <t>Repository Distribution</t>
  </si>
  <si>
    <t>https://github.com/EaminC/AgentBug-Smith/tree/main/results/all_combined_f2p/issue_169_20260511T181727Z</t>
  </si>
  <si>
    <t>Yiming: Yes</t>
  </si>
  <si>
    <t>Agent Frameworks</t>
  </si>
  <si>
    <t>Agent Applications</t>
  </si>
  <si>
    <t>https://github.com/EaminC/AgentBug-Smith/tree/main/results/all_combined_f2p/issue_121_20260614T144239Z</t>
  </si>
  <si>
    <t>https://github.com/EaminC/AgentBug-Smith/tree/main/results/all_combined_f2p/issue_1704_20260730T020559Z</t>
  </si>
  <si>
    <t>Use tuzi-gpt-mini</t>
  </si>
  <si>
    <t>Repository</t>
  </si>
  <si>
    <t>Link</t>
  </si>
  <si>
    <t>Stars</t>
  </si>
  <si>
    <t>License</t>
  </si>
  <si>
    <t>Total Issues with In-Patch Test</t>
  </si>
  <si>
    <t>Total Issues without In-Patch Test</t>
  </si>
  <si>
    <t>Total Issues</t>
  </si>
  <si>
    <t>Deepseek-v3.2</t>
  </si>
  <si>
    <t>Official price</t>
  </si>
  <si>
    <t>https://github.com/EaminC/AgentBug-Smith/blob/main/data/issues_80/issue_1437.json</t>
  </si>
  <si>
    <t>$0.28 - input token/1M</t>
  </si>
  <si>
    <t>GPT-4.1-Mini</t>
  </si>
  <si>
    <t>Kimi-k2.5</t>
  </si>
  <si>
    <t>https://github.com/EaminC/AgentBug-Smith/tree/main/results/all_combined_f2p/issue_2587_20260719T094237Z</t>
  </si>
  <si>
    <t>$0.4 - output token/1M</t>
  </si>
  <si>
    <t>dapr/dapr-agents</t>
  </si>
  <si>
    <t>Yiming: No</t>
  </si>
  <si>
    <t>https://github.com/dapr/dapr-agents/</t>
  </si>
  <si>
    <t>https://github.com/EaminC/AgentBug-Smith/tree/main/results/all_combined_f2p/issue_3425_20260824T015929Z</t>
  </si>
  <si>
    <t>Apache-2.0 license</t>
  </si>
  <si>
    <t>https://github.com/EaminC/AgentBug-Smith/tree/main/results/all_combined_f2p/issue_974_20260511T001744Z</t>
  </si>
  <si>
    <t>VoltAgent/voltagent</t>
  </si>
  <si>
    <t>https://github.com/VoltAgent/voltagent/</t>
  </si>
  <si>
    <t>https://github.com/EaminC/AgentBug-Smith/tree/main/results/all_combined_f2p/issue_3112_20260804T212932Z</t>
  </si>
  <si>
    <t>7.1k</t>
  </si>
  <si>
    <t>MIT license</t>
  </si>
  <si>
    <t>agentscope-ai/agentscope</t>
  </si>
  <si>
    <t>https://github.com/agentscope-ai/agentscope/</t>
  </si>
  <si>
    <t>https://github.com/EaminC/AgentBug-Smith/tree/main/results/all_combined_f2p/issue_1221_20260816T090307Z</t>
  </si>
  <si>
    <t>https://github.com/EaminC/AgentBug-Smith/tree/main/results/all_combined_f2p/issue_1686_20260818T052926Z</t>
  </si>
  <si>
    <t>22.5k</t>
  </si>
  <si>
    <t>crewAIInc/crewAI</t>
  </si>
  <si>
    <t>https://github.com/crewAIInc/crewAI</t>
  </si>
  <si>
    <t>https://github.com/EaminC/AgentBug-Smith/blob/main/data/issues_80/issue_1439.json</t>
  </si>
  <si>
    <t>https://github.com/EaminC/AgentBug-Smith/tree/main/results/all_combined_f2p/issue_3938_20260807T144335Z</t>
  </si>
  <si>
    <t>47.6k</t>
  </si>
  <si>
    <t>*calc token by sampling 24 issues</t>
  </si>
  <si>
    <t>strands-agents/harness-sdk</t>
  </si>
  <si>
    <t>https://github.com/EaminC/AgentBug-Smith/tree/main/results/all_combined_f2p/issue_83_20260618T195818Z</t>
  </si>
  <si>
    <t>https://github.com/strands-agents/sdk-python</t>
  </si>
  <si>
    <t>5.5k</t>
  </si>
  <si>
    <t>https://github.com/EaminC/AgentBug-Smith/tree/main/results/all_combined_f2p/issue_2177_20260810T100457Z</t>
  </si>
  <si>
    <t>mastra-ai/mastra</t>
  </si>
  <si>
    <t>https://github.com/mastra-ai/mastra</t>
  </si>
  <si>
    <t>https://github.com/EaminC/AgentBug-Smith/blob/main/data/issues_80/issue_1445.json</t>
  </si>
  <si>
    <t>https://github.com/EaminC/AgentBug-Smith/tree/main/results/all_combined_f2p/issue_1702_20260729T084553Z</t>
  </si>
  <si>
    <t>*calc token using 2nd batch data</t>
  </si>
  <si>
    <t>langchain-ai/langgraph</t>
  </si>
  <si>
    <t>https://github.com/langchain-ai/langgraph</t>
  </si>
  <si>
    <t>https://github.com/EaminC/AgentBug-Smith/tree/main/results/all_combined_f2p/issue_2235_20260820T162557Z</t>
  </si>
  <si>
    <t>28.4k</t>
  </si>
  <si>
    <t>langflow-ai/langflow</t>
  </si>
  <si>
    <t>https://github.com/langflow-ai/langflow</t>
  </si>
  <si>
    <t>https://github.com/EaminC/AgentBug-Smith/tree/main/results/all_combined_f2p/issue_3388_20260822T080336Z</t>
  </si>
  <si>
    <t>148k</t>
  </si>
  <si>
    <t>Use tuzi-baseline</t>
  </si>
  <si>
    <t>https://github.com/EaminC/AgentBug-Smith/blob/main/data/issues_80/issue_1455.json</t>
  </si>
  <si>
    <t>geekan/MetaGPT</t>
  </si>
  <si>
    <t>https://github.com/geekan/MetaGPT</t>
  </si>
  <si>
    <t>https://github.com/EaminC/AgentBug-Smith/tree/main/results/all_combined_f2p/issue_1792_20260730T040633Z</t>
  </si>
  <si>
    <t>$0.6 - input token/1M</t>
  </si>
  <si>
    <t>$3 - output token/1M</t>
  </si>
  <si>
    <t>67.9k</t>
  </si>
  <si>
    <t>Alfin Yes proportion</t>
  </si>
  <si>
    <t>tensorzero/tensorzero</t>
  </si>
  <si>
    <t>https://github.com/tensorzero/tensorzero</t>
  </si>
  <si>
    <t>Alfin No proportion</t>
  </si>
  <si>
    <t>https://github.com/EaminC/AgentBug-Smith/tree/main/results/all_combined_f2p/issue_1545_20260817T110601Z</t>
  </si>
  <si>
    <t>11.4k</t>
  </si>
  <si>
    <t>https://github.com/EaminC/AgentBug-Smith/tree/main/results/all_combined_f2p/issue_1272_20260816T174203Z</t>
  </si>
  <si>
    <t>Significant-Gravitas/AutoGPT</t>
  </si>
  <si>
    <t>https://github.com/Significant-Gravitas/AutoGPT</t>
  </si>
  <si>
    <t>https://github.com/EaminC/AgentBug-Smith/tree/main/results/all_combined_f2p/issue_667_20260814T105805Z</t>
  </si>
  <si>
    <t>https://github.com/EaminC/AgentBug-Smith/blob/main/data/issues_80/issue_149.json</t>
  </si>
  <si>
    <t>183k</t>
  </si>
  <si>
    <t>MIT License &amp; PolyForm Shield License 1.0.0</t>
  </si>
  <si>
    <t>https://github.com/EaminC/AgentBug-Smith/tree/main/results/all_combined_f2p/issue_194_20260623T191609Z</t>
  </si>
  <si>
    <t>MLSysOps/MLE-agent</t>
  </si>
  <si>
    <t>https://github.com/MLSysOps/MLE-agent/</t>
  </si>
  <si>
    <t>Yiming Yes proportion</t>
  </si>
  <si>
    <t>Yiming No proportion</t>
  </si>
  <si>
    <t>https://github.com/EaminC/AgentBug-Smith/tree/main/results/all_combined_f2p/issue_4109_20260618T125117Z</t>
  </si>
  <si>
    <t>https://github.com/EaminC/AgentBug-Smith/tree/main/results/all_combined_f2p/issue_1277_20260511T034601Z</t>
  </si>
  <si>
    <t>1.5k</t>
  </si>
  <si>
    <t>always-further/AgentUp</t>
  </si>
  <si>
    <t>https://github.com/EaminC/AgentBug-Smith/tree/main/results/all_combined_f2p/issue_1538_20260817T110225Z</t>
  </si>
  <si>
    <t>https://github.com/always-further/AgentUp/</t>
  </si>
  <si>
    <t>https://github.com/EaminC/AgentBug-Smith/blob/main/data/issues_80/issue_1511.json</t>
  </si>
  <si>
    <t>https://github.com/EaminC/AgentBug-Smith/tree/main/results/all_combined_f2p/issue_590_20260814T081942Z</t>
  </si>
  <si>
    <t>Expected agreement</t>
  </si>
  <si>
    <t>Canner/WrenAI</t>
  </si>
  <si>
    <t>https://github.com/Canner/WrenAI</t>
  </si>
  <si>
    <t>https://github.com/EaminC/AgentBug-Smith/tree/main/results/all_combined_f2p/issue_1924_20260810T103452Z</t>
  </si>
  <si>
    <t>14.9k</t>
  </si>
  <si>
    <t>AGPL-3.0 license</t>
  </si>
  <si>
    <t>https://github.com/EaminC/AgentBug-Smith/blob/main/data/issues_80/issue_1583.json</t>
  </si>
  <si>
    <t>reworkd/AgentGPT</t>
  </si>
  <si>
    <t>https://github.com/reworkd/AgentGPT</t>
  </si>
  <si>
    <t>https://github.com/EaminC/AgentBug-Smith/tree/main/results/all_combined_f2p/issue_831_20260814T161354Z</t>
  </si>
  <si>
    <t>35.9k</t>
  </si>
  <si>
    <t>https://github.com/EaminC/AgentBug-Smith/tree/main/results/all_combined_f2p/issue_1294_20260816T182750Z</t>
  </si>
  <si>
    <t>GPL-3.0 license</t>
  </si>
  <si>
    <t>Aider-AI/aider</t>
  </si>
  <si>
    <t>https://github.com/Aider-AI/aider</t>
  </si>
  <si>
    <t>https://github.com/EaminC/AgentBug-Smith/tree/main/results/all_combined_f2p/issue_596_20260706T040852Z</t>
  </si>
  <si>
    <t>https://github.com/EaminC/AgentBug-Smith/blob/main/data/issues_80/issue_1675.json</t>
  </si>
  <si>
    <t>42.8k</t>
  </si>
  <si>
    <t>Cohen's Kappa</t>
  </si>
  <si>
    <t>ValueCell-ai/valuecell</t>
  </si>
  <si>
    <t>https://github.com/EaminC/AgentBug-Smith/tree/main/results/all_combined_f2p/issue_209_20260619T235044Z</t>
  </si>
  <si>
    <t>https://github.com/ValueCell-ai/valuecell</t>
  </si>
  <si>
    <t>10.2k</t>
  </si>
  <si>
    <t>AntonOsika/gpt-engineer</t>
  </si>
  <si>
    <t>https://github.com/AntonOsika/gpt-engineer</t>
  </si>
  <si>
    <t>https://github.com/EaminC/AgentBug-Smith/blob/main/data/issues_80/issue_169.json</t>
  </si>
  <si>
    <t>AGENTBUG-SMITH</t>
  </si>
  <si>
    <t>Models</t>
  </si>
  <si>
    <t>App/Frame</t>
  </si>
  <si>
    <t>Agent Name</t>
  </si>
  <si>
    <t>Issue ID</t>
  </si>
  <si>
    <t>Issue PR</t>
  </si>
  <si>
    <t>In Patch?</t>
  </si>
  <si>
    <t>55.2k</t>
  </si>
  <si>
    <t>Agent Harness Component</t>
  </si>
  <si>
    <t>https://github.com/EaminC/AgentBug-Smith/tree/main/results/all_combined_f2p/issue_2007_20260819T163823Z</t>
  </si>
  <si>
    <t>Reason</t>
  </si>
  <si>
    <t>Total F2P Across all models:</t>
  </si>
  <si>
    <t>w/ IPT</t>
  </si>
  <si>
    <t>OpenInterpreter/open-interpreter</t>
  </si>
  <si>
    <t>https://github.com/EaminC/AgentBug-Smith/tree/main/results/all_combined_f2p/issue_1334_20260816T182942Z</t>
  </si>
  <si>
    <t>https://github.com/OpenInterpreter/open-interpreter</t>
  </si>
  <si>
    <t>https://github.com/EaminC/AgentBug-Smith/tree/main/results/all_combined_f2p/issue_1965_20260729T165449Z</t>
  </si>
  <si>
    <t>GPT | Kimi</t>
  </si>
  <si>
    <t>Application</t>
  </si>
  <si>
    <t>gpt-engineer</t>
  </si>
  <si>
    <t>Lifecycle &amp; Orchestration Loop</t>
  </si>
  <si>
    <t>Managing LLM backend routing, dynamic initialization fallbacks, and provider error recovery directly governs how the agent lifecycle initializes and executes its core generation turns.</t>
  </si>
  <si>
    <t>https://github.com/EaminC/AgentBug-Smith/blob/main/data/issues_80/issue_174.json</t>
  </si>
  <si>
    <t>wo/ IPT</t>
  </si>
  <si>
    <t>lobehub/lobehub</t>
  </si>
  <si>
    <t>https://github.com/lobehub/lobehub</t>
  </si>
  <si>
    <t>Deepseek | Kimi</t>
  </si>
  <si>
    <t>mle-agent</t>
  </si>
  <si>
    <t>This bug and its resolution pertain to how the agent structures its high-level execution stages, manages user-in-the-loop task planning, and orchestrates the setup steps prior to code synthesis and execution.</t>
  </si>
  <si>
    <t>w/ in-patch</t>
  </si>
  <si>
    <t>wo/ in-patch</t>
  </si>
  <si>
    <t>https://github.com/EaminC/AgentBug-Smith/tree/main/results/all_combined_f2p/issue_1732_20260818T071638Z</t>
  </si>
  <si>
    <t>Deepseek</t>
  </si>
  <si>
    <t>77k</t>
  </si>
  <si>
    <t>https://github.com/EaminC/AgentBug-Smith/tree/main/results/all_combined_f2p/issue_1351_20260624T075019Z</t>
  </si>
  <si>
    <t>Modifying the order of sequential stages, phase transitions, and user-in-the-loop interaction checkpoints directly alters the agent's high-level planning and lifecycle orchestration control flow.</t>
  </si>
  <si>
    <t>GPT only</t>
  </si>
  <si>
    <t>Kimi</t>
  </si>
  <si>
    <t>Tool Registry &amp; Action Interface</t>
  </si>
  <si>
    <t>This issue directly concerns the setup, configuration, and interface initialization of an external tool provider (SearchAgent / search engine integration) before the agent can invoke it.</t>
  </si>
  <si>
    <t>TOTAL</t>
  </si>
  <si>
    <t>Deepseek only</t>
  </si>
  <si>
    <t>GPT | Deepseek | Kimi</t>
  </si>
  <si>
    <t>Observability &amp; Environment</t>
  </si>
  <si>
    <t>This enhancement directly serves user-facing inspection, operational visualization, and trajectory/state presentation of the agent's internal planning process without changing the underlying planning logic or execution control loop.</t>
  </si>
  <si>
    <t>Kimi only</t>
  </si>
  <si>
    <t>Framework</t>
  </si>
  <si>
    <t>agentscope</t>
  </si>
  <si>
    <t>Context &amp; Memory Management</t>
  </si>
  <si>
    <t>This issue directly concerns message/chat history data structures, prompt payload validation, and formatting representations as messages are converted from agent state/memory into model-consumable context lists.</t>
  </si>
  <si>
    <t>GPT | Deepseek</t>
  </si>
  <si>
    <t>https://github.com/EaminC/AgentBug-Smith/blob/main/data/issues_80/issue_177.json</t>
  </si>
  <si>
    <t>dapr-agents</t>
  </si>
  <si>
    <t>This issue is fundamentally about tool result protocol parsing, serialization, and bidirectional communication between external tool interfaces (MCP) and the agent framework.</t>
  </si>
  <si>
    <t>https://github.com/EaminC/AgentBug-Smith/tree/main/results/all_combined_f2p/issue_2296_20260823T174322Z</t>
  </si>
  <si>
    <t>GPT</t>
  </si>
  <si>
    <t>This issue concerns multi-agent coordination, turn execution protocols, and message dispatch conventions within a multi-agent orchestration pattern (msghub).</t>
  </si>
  <si>
    <t>https://github.com/EaminC/AgentBug-Smith/tree/main/results/all_combined_f2p/issue_141_20260729T075605Z</t>
  </si>
  <si>
    <t>AgentScope Studio and its corresponding logging utilities form the monitoring, telemetry, and debugging interface used to trace and visualize agent conversations and runtime outputs.</t>
  </si>
  <si>
    <t>Session checkpointing, cross-session state persistence, and restoring serialized memory/context state across executions fall squarely under managing persistent agent memory and long-term state.</t>
  </si>
  <si>
    <t>GPT | Deepseek |Kimi</t>
  </si>
  <si>
    <t>https://github.com/EaminC/AgentBug-Smith/tree/main/results/all_combined_f2p/issue_2789_20260804T104755Z</t>
  </si>
  <si>
    <t>This issue directly involves response parsing, action extraction, and output deserialization (parsing unstructured model generation into concrete environment actions and file operations).</t>
  </si>
  <si>
    <t>Models Distribution</t>
  </si>
  <si>
    <t>The web dashboard and report viewer function as the user-facing inspection, operational monitoring, and visualization UI for the agent system's outputs and analytics.</t>
  </si>
  <si>
    <t>https://github.com/EaminC/AgentBug-Smith/blob/main/data/issues_80/issue_1851.json</t>
  </si>
  <si>
    <t>This issue and fix directly modify the agent's interactive decision flow, clarifying question logic, and human-in-the-loop task planning loop during the initiation phase of the workflow.</t>
  </si>
  <si>
    <t>Distribution</t>
  </si>
  <si>
    <t>F2P with In-Patch Test</t>
  </si>
  <si>
    <t>F2P without In-Patch Test</t>
  </si>
  <si>
    <t>%</t>
  </si>
  <si>
    <t>https://github.com/EaminC/AgentBug-Smith/tree/main/results/all_combined_f2p/issue_1432_20260817T045516Z</t>
  </si>
  <si>
    <t>This bug and patch directly address memory data models, memory loading/deserialization, and conversation history persistence within the agent's memory component.</t>
  </si>
  <si>
    <t>https://github.com/EaminC/AgentBug-Smith/tree/main/results/all_combined_f2p/issue_2090_20260820T062310Z</t>
  </si>
  <si>
    <t>This bug and fix directly govern game turn sequencing, environment state transitions, and episode termination conditions (stopping criteria) in an interactive multi-agent control loop.</t>
  </si>
  <si>
    <t>Configuring, overriding, and adapting communication endpoints and initialization protocols for external APIs/LLM backends sits in the Action Interface layer (managing how the agent dials out to the model or tools).</t>
  </si>
  <si>
    <t>https://github.com/EaminC/AgentBug-Smith/blob/main/data/issues_80/issue_1886.json</t>
  </si>
  <si>
    <t>Integrating an LLM engine with function-calling capabilities requires implementing the tool schema translation, parameter serialization, and action dispatch layer between the agent framework and the provider API.</t>
  </si>
  <si>
    <t>open-interpreter</t>
  </si>
  <si>
    <t>This bug and fix directly impact the configuration, routing, and operational file storage of the agent framework's logging and telemetry subsystems.</t>
  </si>
  <si>
    <t>aider</t>
  </si>
  <si>
    <t>This issue directly modifies the underlying vector store and long-term memory retrieval/persistence layer used to store and manage external knowledge, facts, and embeddings for the agent.</t>
  </si>
  <si>
    <t>strands-agents</t>
  </si>
  <si>
    <t>The core functionality directly manages the ingestion, vector storage, indexing, and CRUD lifecycle of external knowledge and long-term memory for the agent.</t>
  </si>
  <si>
    <t>crewai</t>
  </si>
  <si>
    <t>The defect involves memory lifecycle initialization, config binding, and setup errors within the agent's persistent vector memory component.</t>
  </si>
  <si>
    <t>AutoGPT</t>
  </si>
  <si>
    <t>https://github.com/EaminC/AgentBug-Smith/tree/main/results/all_combined_f2p/issue_298_20260622T123423Z</t>
  </si>
  <si>
    <t>https://github.com/EaminC/AgentBug-Smith/blob/main/data/issues_80/issue_1887.json</t>
  </si>
  <si>
    <t>This feature directly affects the agent execution lifecycle, workflow termination handling, and orchestration callback mechanisms governing the completion state of the agent loop.</t>
  </si>
  <si>
    <t>langgraph</t>
  </si>
  <si>
    <t>This enhancement directly adds a new long-term context retention and memory retrieval backend (Mem0) to the agent framework's memory capabilities, augmenting how it stores and searches historical session knowledge.</t>
  </si>
  <si>
    <t>This change manages how agent run state, conversation memories, and intermediate session artifacts are persisted, snapshotted, rotated, and isolated across runs.</t>
  </si>
  <si>
    <r>
      <rPr>
        <rFont val="Arial"/>
        <b/>
        <color theme="1"/>
      </rPr>
      <t xml:space="preserve">F2P - Repos Distribution </t>
    </r>
    <r>
      <rPr>
        <rFont val="Arial"/>
        <b val="0"/>
        <i/>
        <color theme="1"/>
      </rPr>
      <t>(*Each issue is counted once, regardless of how many models achieve F2P)</t>
    </r>
  </si>
  <si>
    <t>Governance, Security &amp; Verification</t>
  </si>
  <si>
    <t>This is a classic runtime policy enforcement and safety guardrail issue designed to govern and restrict agent actions against malicious or high-risk command patterns.</t>
  </si>
  <si>
    <t>https://github.com/EaminC/AgentBug-Smith/tree/main/results/all_combined_f2p/issue_1813_20260818T170656Z</t>
  </si>
  <si>
    <t>This issue concerns prompt assembly, role tagging/mapping, and message format preparation when transforming conversation context and history into the provider-ready prompt payload.</t>
  </si>
  <si>
    <t>This functionality directly serves system evaluation, operational reporting, benchmark tracking, and historical run performance metrics across agent trajectories.</t>
  </si>
  <si>
    <t>System preprompts, static persona templates, and instructions injected into the context window are core assets managed by the prompt assembly and context construction layer.</t>
  </si>
  <si>
    <t>https://github.com/EaminC/AgentBug-Smith/blob/main/data/issues_80/issue_209.json</t>
  </si>
  <si>
    <t>https://github.com/EaminC/AgentBug-Smith/tree/main/results/all_combined_f2p/issue_2052_20260729T231408Z</t>
  </si>
  <si>
    <t>Token usage monitoring, cost estimation, and runtime consumption analytics fall directly under the agent harness's telemetry, operational metrics, and observability layer.</t>
  </si>
  <si>
    <t>This issue concerns provider model registry configurations, action format bindings (specifying how model outputs are structured into diff/edit action protocols), and communication adapters between the agent harness and model endpoints.</t>
  </si>
  <si>
    <t>This feature defines an automated self-correction/feedback loop, error recovery policy, retry mechanism, and control-flow step sequence within the agent's core execution lifecycle.</t>
  </si>
  <si>
    <t>This issue directly governs context window boundaries, prompt token budgeting limits, and context overflow handling used by conversation management and memory pruning strategies.</t>
  </si>
  <si>
    <t>This issue concerns tool registry management, dynamic tool exposure/schema filtering, and action dispatch validation (governing which tools are active and callable by the model at any given point).</t>
  </si>
  <si>
    <t>https://github.com/EaminC/AgentBug-Smith/tree/main/results/all_combined_f2p/issue_1675_20260617T165705Z</t>
  </si>
  <si>
    <t>This bug and fix directly concern conversation history persistence, schema deserialization, and restoring prior session state from disk back into the active agent context.</t>
  </si>
  <si>
    <t>This issue concerns tool call serialization/deserialization, argument parsing pipelines, and stream-decoding protocols that translate raw LLM outputs into structured tool invocation inputs.</t>
  </si>
  <si>
    <t>The Learning pipeline is part of the telemetry, session feedback capture, trajectory logging, and operational data collection infrastructure used to record run metrics and user evaluation data.</t>
  </si>
  <si>
    <t>This issue concerns multimodal input handling, prompt construction, and context assembly (determining whether and how image inputs are integrated into the prompt payload sent to the LLM).</t>
  </si>
  <si>
    <t>https://github.com/EaminC/AgentBug-Smith/blob/main/data/issues_80/issue_2390.json</t>
  </si>
  <si>
    <t>This issue lies in prompt assembly, chat history serialization, and message schema formatting when structuring multi-turn context and message blocks into provider-compliant prompt payloads.</t>
  </si>
  <si>
    <t>This issue directly concerns LLM provider client configuration, API endpoint/version parameter binding, and the external interface adapter protocol for communicating with model providers.</t>
  </si>
  <si>
    <t>This issue lies in the agent's action parsing and formatting layer—specifically deserializing model-generated structured diff action representations into deterministic workspace file mutations.</t>
  </si>
  <si>
    <t>This bug and fix directly target action block deserialization, format parsing, and decoding model-generated action representations (SEARCH/REPLACE edit protocol blocks) into actionable file mutations.</t>
  </si>
  <si>
    <t>https://github.com/EaminC/AgentBug-Smith/tree/main/results/all_combined_f2p/issue_1551_20260817T114349Z</t>
  </si>
  <si>
    <t>PlanNotebook manages the sub-task decomposition, hierarchical plan execution, and plan lifecycle state transitions. The missing hook invocation directly impacts agent workflow event dispatching, planning loop state synchronization, and execution lifecycle orchestration.</t>
  </si>
  <si>
    <t>https://github.com/EaminC/AgentBug-Smith/tree/main/results/all_combined_f2p/issue_33_MLE_20260614T100655Z</t>
  </si>
  <si>
    <t>This issue directly concerns the model provider client adapter, asynchronous communication protocols, and interface transport handling between the agent framework and the remote LLM endpoint.</t>
  </si>
  <si>
    <t>Additional Data for Baselines</t>
  </si>
  <si>
    <t>AgentScope Studio hooks serve as an operational observability, web UI visualization, and trajectory/event logging stream. Preventing telemetry export failures from breaking core execution is a standard observability and logging resilience concern.</t>
  </si>
  <si>
    <t>This fix resides directly in the message formatting and prompt assembly layer, specifically handling the ingestion, formatting, and serialization of multimodal input blocks into the context payload provided to the LLM.</t>
  </si>
  <si>
    <t>https://github.com/EaminC/AgentBug-Smith/blob/main/data/issues_80/issue_255.json</t>
  </si>
  <si>
    <t>No,</t>
  </si>
  <si>
    <t>This bug and fix reside directly in the streaming action deserialization and tool call parameter parsing pipeline, which translates partial/streamed model outputs into valid, structured tool invocation arguments.</t>
  </si>
  <si>
    <t>https://github.com/EaminC/AgentBug-Smith/tree/main/results/all_combined_f2p/issue_1703_20260627T133832Z</t>
  </si>
  <si>
    <t>This issue directly concerns relational/persistent memory storage backends, state persistence mechanisms, and thread/coroutine-safe conversation history storage across agent interactions.</t>
  </si>
  <si>
    <t>This issue directly concerns model provider client configuration, request parameter adapters, and the external communication/dispatch protocol between the agent framework and model provider APIs.</t>
  </si>
  <si>
    <t>This bug and fix directly target vector storage management, short-term memory cleanup/invalidation, and persistent storage backend lifecycles across agent memory modules.</t>
  </si>
  <si>
    <t>This issue directly concerns knowledge source integration, RAG/knowledge retrieval, and prompt context assembly (ensuring external and pre-loaded agent knowledge is ingested and made available in the agent's context window).</t>
  </si>
  <si>
    <t>https://github.com/EaminC/AgentBug-Smith/tree/main/results/all_combined_f2p/issue_1810_20260818T170408Z</t>
  </si>
  <si>
    <t>System prompt templates, prompt engineering instructions, and context assembly directives injected into the model's context window are core assets managed by the prompt engineering and context management layer.</t>
  </si>
  <si>
    <t>https://github.com/EaminC/AgentBug-Smith/tree/main/results/all_combined_f2p/issue_1651_20260817T190549Z</t>
  </si>
  <si>
    <t>Managing the active file set, tracking files in the conversation context window, and disambiguating in-context file references are core responsibilities of the context and session state management layer.</t>
  </si>
  <si>
    <t>This bug and its corresponding fix reside directly in the workflow control flow graph, routing event dispatch, and conditional DAG/multi-agent execution loop.</t>
  </si>
  <si>
    <t>function_calling_llm configures the dedicated model executor specifically assigned to parse schemas, handle tool calling protocols, and generate structured function invocation payloads for an agent. Mapping and instantiating this dedicated action executor falls under the tool protocol, action interface, and function execution setup layer.</t>
  </si>
  <si>
    <t>https://github.com/EaminC/AgentBug-Smith/tree/main/results/all_combined_f2p/issue_322_20260731T162619Z</t>
  </si>
  <si>
    <t>This issue and patch concern the model provider adapter definitions, client endpoint configurations, and supported backend LLM interface registries that the agent harness uses to communicate with remote models.</t>
  </si>
  <si>
    <t>https://github.com/EaminC/AgentBug-Smith/blob/main/data/issues_80/issue_256.json</t>
  </si>
  <si>
    <t>This enhancement directly modifies the tool registry and action declaration interface, defining how tool definitions are constructed, decorated, and converted into executable action handlers within the harness.</t>
  </si>
  <si>
    <t>This bug and fix reside directly in the tool execution and action dispatch interface, specifically handling coroutine serialization, runtime tool protocol execution, and mapping raw tool return values into structured action observations.</t>
  </si>
  <si>
    <t>This issue and patch directly modify system prompt assembly and environment context injection, ensuring the host runtime context is formatted and passed into the agent's context window.</t>
  </si>
  <si>
    <t>This issue and fix directly concern agent memory backends, vector store configurations, embedding model settings for memory storage, and state persistence across interactions.</t>
  </si>
  <si>
    <t>https://github.com/EaminC/AgentBug-Smith/tree/main/results/all_combined_f2p/issue_579_20260814T054708Z</t>
  </si>
  <si>
    <t>This enhancement directly modifies the memory architecture, vector memory retrieval algorithms, state persistence schemas, and context storage layer used across agent executions.</t>
  </si>
  <si>
    <t>This issue directly targets the memory management subsystem—specifically the operational maintenance, invalidation, and state reset workflows for persistent agent memory, knowledge stores, and conversation context.</t>
  </si>
  <si>
    <t>https://github.com/EaminC/AgentBug-Smith/tree/main/results/all_combined_f2p/issue_166_20260703T205716Z</t>
  </si>
  <si>
    <t>This issue directly concerns model provider authentication, client configuration adapters, and interface setup required for the agent harness to establish communication with the LLM endpoint.</t>
  </si>
  <si>
    <t>This issue and patch directly concern LLM endpoint configuration, model adapter selection, and client invocation parameters used by the agent harness to communicate with backend model APIs.</t>
  </si>
  <si>
    <t>This issue directly targets the memory persistence backend, external memory storage interfaces, and conversation history serialization for long-/short-term agent state persistence.</t>
  </si>
  <si>
    <t>This issue directly targets memory storage serialization, persistent context state pruning, and external memory ingestion within the agent's memory subsystem.</t>
  </si>
  <si>
    <t>Although the unpickleable lock originated from an internal dependency when memory was enabled, the failure and fix reside directly in the workflow orchestrator's state transition, listener dispatch, and execution snapshot lifecycle within the flow orchestration loop.</t>
  </si>
  <si>
    <t>https://github.com/EaminC/AgentBug-Smith/blob/main/data/issues_80/issue_259.json</t>
  </si>
  <si>
    <t>This issue directly governs multi-agent task delegation, conversation turn management, termination criteria, and control-flow coordination between distributed agent entities.</t>
  </si>
  <si>
    <t>https://github.com/EaminC/AgentBug-Smith/tree/main/results/all_combined_f2p/issue_350_20260813T145604Z</t>
  </si>
  <si>
    <t>This issue directly targets the instantiation, declaration, and structural assembly of agent graph nodes, task pipelines, and multi-agent execution orchestrators within the framework's core lifecycle loop.</t>
  </si>
  <si>
    <t>This issue directly targets model provider API routing, endpoint identification schema conventions, and the client adapter communication layer that connects the harness to remote model backends.</t>
  </si>
  <si>
    <t>This change configures the model adapter, invocation settings, and provider client interface that connect the agent harness to the Amazon Bedrock LLM endpoint.</t>
  </si>
  <si>
    <t>This issue and patch directly concern runtime execution propagation, hierarchical graph/subgraph call loops, node-to-node execution state inheritance, and control-flow orchestration across nested workflow graphs.</t>
  </si>
  <si>
    <t>Extended Benchmark</t>
  </si>
  <si>
    <t>This issue and patch directly govern the agent's decision loop, step-budget tracking, iteration limits (remaining_steps), and loop termination conditions within the orchestration engine.</t>
  </si>
  <si>
    <t>https://github.com/EaminC/AgentBug-Smith/tree/main/results/all_combined_f2p/issue_9_20260522T230911Z</t>
  </si>
  <si>
    <t>Model:</t>
  </si>
  <si>
    <t>gpt-4.1-mini</t>
  </si>
  <si>
    <t>This issue concerns the graph runtime's signature introspection, parameter injection, and dispatch contract used to pass execution configurations into individual graph steps and runnable callbacks during graph traversal.</t>
  </si>
  <si>
    <t>Total F2P with In-Patch Test:</t>
  </si>
  <si>
    <t>Total F2P without In-Patch Test:</t>
  </si>
  <si>
    <t>This issue and patch directly govern checkpoint resumption mechanics, interrupt/resume control flow, task-execution deduping, and state-loop step replay within hierarchical graph orchestration.</t>
  </si>
  <si>
    <t>Total F2P:</t>
  </si>
  <si>
    <t>https://github.com/EaminC/AgentBug-Smith/blob/main/data/issues_80/issue_273.json</t>
  </si>
  <si>
    <t>F2P - Repos Distribution</t>
  </si>
  <si>
    <t>https://github.com/EaminC/AgentBug-Smith/tree/main/results/all_combined_f2p/issue_2276_20260803T045610Z</t>
  </si>
  <si>
    <t>Checkpointers and stores represent the core state persistence, memory checkpointing, and thread history layers in the harness architecture. This change directly enforces contract validation for the checkpointer persistence interface.</t>
  </si>
  <si>
    <t>Model</t>
  </si>
  <si>
    <t>https://github.com/EaminC/AgentBug-Smith/blob/main/data/issues_80/issue_288.json</t>
  </si>
  <si>
    <t>https://github.com/EaminC/AgentBug-Smith/tree/main/results/all_combined_f2p/issue_2055_20260730T044249Z</t>
  </si>
  <si>
    <t>This issue and patch directly target LLM/VLM provider client adapters, endpoint routing definitions, and multimodal API payload serialization interfaces connecting the agent harness to external model backends.</t>
  </si>
  <si>
    <t>This issue concerns model adapter initialization schemas, provider parameter specifications, and endpoint configuration protocols required to connect the harness to Ollama model services.</t>
  </si>
  <si>
    <t>https://github.com/EaminC/AgentBug-Smith/tree/main/results/all_combined_f2p/issue_1687_20260818T044726Z</t>
  </si>
  <si>
    <t>This issue and patch directly target tool schema conversion, provider tool-call protocol adapters, and action execution/result serialization between the model client and agent tools.</t>
  </si>
  <si>
    <t>strands-agent</t>
  </si>
  <si>
    <t>This issue and patch directly target the agent's core decision loop mechanics, event loop execution phases, and lifecycle interception hooks across request invocation and teardown boundaries.</t>
  </si>
  <si>
    <t>https://github.com/EaminC/AgentBug-Smith/tree/main/results/all_combined_f2p/issue_2089_20260823T001916Z</t>
  </si>
  <si>
    <t>https://github.com/EaminC/AgentBug-Smith/blob/main/data/issues_80/issue_29.json</t>
  </si>
  <si>
    <t>This issue and patch directly target provider tool-calling protocols, tool choice selection schemas, and the action-interface payload serialization between agent tool definitions and LLM providers.</t>
  </si>
  <si>
    <t>Current</t>
  </si>
  <si>
    <t>Agent Harness Components</t>
  </si>
  <si>
    <t>Components Distribution</t>
  </si>
  <si>
    <t>This issue and patch directly target deterministic verification of model outputs, schema validation, type enforcement guardrails, and post-generation response verification within the agent harness.</t>
  </si>
  <si>
    <t>This issue and patch directly target operational telemetry, step-by-step cost and token analytics, and logging mechanisms for agent benchmark recording and system monitoring.</t>
  </si>
  <si>
    <t>https://github.com/EaminC/AgentBug-Smith/tree/main/results/all_combined_f2p/issue_2000_20260808T192026Z</t>
  </si>
  <si>
    <t>https://github.com/EaminC/AgentBug-Smith/tree/main/results/all_combined_f2p/issue_1689_20260818T055717Z</t>
  </si>
  <si>
    <t>This issue and patch directly target tool schema generation, Pydantic-to-tool-spec serialization, and schema validation compliance required by the provider tool protocol.</t>
  </si>
  <si>
    <t>Harness Components</t>
  </si>
  <si>
    <t>Description</t>
  </si>
  <si>
    <t>This issue and patch directly target tool invocation argument serialization/deserialization, parameter handling, and payload bridging within the action and tool interface layer.</t>
  </si>
  <si>
    <t>This issue and patch directly target prompt assembly, system instruction injection, and prompt context configuration delivered to the LLM backend during inference.</t>
  </si>
  <si>
    <t>The registry, interface, and protocol (e.g., MCP, function schemas) for discovering tools, formatting calls, and parsing observations/tool results.</t>
  </si>
  <si>
    <t>This issue and PR directly address conversational history windowing, active context compaction, token budgeting, and message state retention policies across agent execution cycles.</t>
  </si>
  <si>
    <t>Context window assembly, token budgeting, persistent storage (vector/relational/KV memory), retrieval (RAG), and state tracking.</t>
  </si>
  <si>
    <t>https://github.com/EaminC/AgentBug-Smith/blob/main/data/issues_80/issue_313.json</t>
  </si>
  <si>
    <t>This issue and patch directly target operational telemetry, token and cache hit rate monitoring, cost analytics instrumentation, and execution metrics aggregation for observability.</t>
  </si>
  <si>
    <t>The agent control flow: the observe-think-act inner loop, multi-agent coordination, sub-task planning/routing, retry strategies, and termination conditions.</t>
  </si>
  <si>
    <t>Isolated runtime infrastructure, trajectory tracing, token/cost tracking, error logging, event telemetry, and debugging/replay infrastructure.</t>
  </si>
  <si>
    <t>Runtime policy enforcement (permissions, guardrails, human-in-the-loop gates) and trajectory evaluation/verification (grounding, deterministic checks, safety assertions).</t>
  </si>
  <si>
    <t>https://github.com/EaminC/AgentBug-Smith/tree/main/results/all_combined_f2p/issue_1745_20260808T133207Z</t>
  </si>
  <si>
    <t>This issue and patch directly target workflow runner concurrency, multi-agent task execution scheduling, and the orchestration loop controlling parallel agent workflow dispatches.</t>
  </si>
  <si>
    <t>https://github.com/EaminC/AgentBug-Smith/tree/main/results/all_combined_f2p/issue_196_20260629T055224Z</t>
  </si>
  <si>
    <t>This issue and patch directly target tool parameter injection, action execution context bridging, and the communication interface between agent runtime callers and tool implementations.</t>
  </si>
  <si>
    <t>https://github.com/EaminC/AgentBug-Smith/blob/main/data/issues_80/issue_325.json</t>
  </si>
  <si>
    <t>PR #391 directly restructures the tool execution engine, asynchronous invocation protocol, and the streaming result interface between the agent loop and tool implementations.</t>
  </si>
  <si>
    <t>https://github.com/EaminC/AgentBug-Smith/tree/main/results/all_combined_f2p/issue_2330_20260628T093544Z</t>
  </si>
  <si>
    <t>This issue and patch directly govern the agent's core observe-think-act decision loop, event emission sequence, and lifecycle hook interception boundaries surrounding model inference and tool dispatch.</t>
  </si>
  <si>
    <t>This issue and patch directly target the agent's telemetry event streaming, token usage tracking, and operational callback logging subsystem used for observability and runtime monitoring.</t>
  </si>
  <si>
    <t>SE Agents Experiment on All Benchmark (200 Issues)</t>
  </si>
  <si>
    <t>https://github.com/EaminC/AgentBug-Smith/tree/main/results/all_combined_f2p/issue_1696_20260818T061206Z</t>
  </si>
  <si>
    <t xml:space="preserve">Model: </t>
  </si>
  <si>
    <t>This issue and patch directly concern the tool registry, tool discovery, dynamic tool equipping/grouping, and the tool interface exposed to the agent.</t>
  </si>
  <si>
    <t xml:space="preserve">SE Agents: </t>
  </si>
  <si>
    <t>Mini-SWE-agent, OpenHands, &amp; Auto-code-rover</t>
  </si>
  <si>
    <t>https://github.com/EaminC/AgentBug-Smith/tree/main/results/all_combined_f2p/issue_388_20260616T133519Z</t>
  </si>
  <si>
    <t>Correctly resolved by all SE Agents:</t>
  </si>
  <si>
    <t>This issue and PR directly modify the agent's startup lifecycle hook mechanism, input message interception/transformation boundaries, and the event-driven control flow executing immediately prior to the core decision loop.</t>
  </si>
  <si>
    <t>Correctly resolved by auto-code-rover &amp; openhands:</t>
  </si>
  <si>
    <t>This issue and patch directly target the tool decorator protocol, function signature parsing, parameter schema validation, and tool definition registration within the agent's action interface.</t>
  </si>
  <si>
    <t>Correctly resolved by openhands only:</t>
  </si>
  <si>
    <t>https://github.com/EaminC/AgentBug-Smith/blob/main/data/issues_80/issue_33.json</t>
  </si>
  <si>
    <t>Correctly resolved by mini-swe-agent &amp; auto-code-rover:</t>
  </si>
  <si>
    <t>Correctly resolved by mini-swe-agent only:</t>
  </si>
  <si>
    <t>Correctly resolved by mini-swe-agent &amp; openhands:</t>
  </si>
  <si>
    <t>Correctly resolved by auto-code-rover only:</t>
  </si>
  <si>
    <t>https://github.com/EaminC/AgentBug-Smith/tree/main/results/all_combined_f2p/issue_1890_20260810T110306Z</t>
  </si>
  <si>
    <t>SE Agents Evaluation</t>
  </si>
  <si>
    <t>This issue and patch directly target tool specification generation, schema extraction, docstring metadata parsing, and tool registry definition formatting within the agent's action interface layer.</t>
  </si>
  <si>
    <t>This issue directly governs safety policies, content guardrail enforcement, and deterministic state sanitization/redaction mechanisms protecting the agent boundary.</t>
  </si>
  <si>
    <t>SE Agents</t>
  </si>
  <si>
    <t>This issue and patch directly target the tool registry architecture, dynamic tool resolution, lifecycle management of executable actions, and the tool specification interface exposed to the agent.</t>
  </si>
  <si>
    <t>Plausibly Resolved Count</t>
  </si>
  <si>
    <t>Plausibly Resolved %</t>
  </si>
  <si>
    <t>Correctly Resolved</t>
  </si>
  <si>
    <t>Correctly Resolved %</t>
  </si>
  <si>
    <t>File-level Localization</t>
  </si>
  <si>
    <t>Function-Level Localization</t>
  </si>
  <si>
    <t>This issue and patch directly target runtime telemetry data extraction, token consumption and latency metrics parsing, and observability stream processing from model execution.</t>
  </si>
  <si>
    <t>Mini-SWE-agent</t>
  </si>
  <si>
    <t>This issue and patch directly target conversation history compression, summarization agent configuration, message history sanitation, and context window management strategies.</t>
  </si>
  <si>
    <t>OpenHands</t>
  </si>
  <si>
    <t>https://github.com/EaminC/AgentBug-Smith/blob/main/data/issues_80/issue_33_MLE.json</t>
  </si>
  <si>
    <t>This issue and patch directly target agent session persistence, conversation history retrieval, and external memory storage backend operations.</t>
  </si>
  <si>
    <t>AutoCodeRover</t>
  </si>
  <si>
    <t>This issue and patch directly target the agent's core execution loop lifecycle, invocation concurrency control, runtime thread safety, and session invocation state guards.</t>
  </si>
  <si>
    <t>https://github.com/EaminC/AgentBug-Smith/tree/main/results/all_combined_f2p/issue_1820_20260818T173819Z</t>
  </si>
  <si>
    <t>This issue and patch directly target tool schema normalization, JSON schema validation rules, MCP tool definition translation, and parameter specification bridging within the action and tool interface layer.</t>
  </si>
  <si>
    <t>Although the implementation surfaces data via telemetry classes, the feature's primary objective and architecture directly serve context window size tracking, token budgeting, and threshold-based proactive memory management (such as triggering conversation summarization or compaction).</t>
  </si>
  <si>
    <t>Skill Test</t>
  </si>
  <si>
    <t>This issue and patch directly target tool definition parsing, function signature and type hint extraction, Pydantic schema generation, and tool input model validation within the action and tool interface layer.</t>
  </si>
  <si>
    <t>https://github.com/EaminC/AgentBug-Smith/tree/main/results/all_combined_f2p/issue_1885_20260730T043836Z</t>
  </si>
  <si>
    <t>This issue and patch directly target the tool execution runtime, ToolContext parameter injection, tool execution environment setup, and the tool invocation protocol.</t>
  </si>
  <si>
    <t>SE Agent:</t>
  </si>
  <si>
    <t>This issue and patch directly address MCP tool provider communication, tool execution timeouts, JSON-RPC protocol error handling, and action provider transport resilience.</t>
  </si>
  <si>
    <t>Skill Test?</t>
  </si>
  <si>
    <t>Plausibly Resolved</t>
  </si>
  <si>
    <t>Function-level Localization</t>
  </si>
  <si>
    <t>This feature and PR directly target external tool protocol integration (Model Context Protocol), asynchronous action execution models, tool capability negotiation, and task-augmented action invocation workflows.</t>
  </si>
  <si>
    <t>This issue and patch directly target agent session restoration, conversation history hydration, message memory repair, and persistence boundary state integrity.</t>
  </si>
  <si>
    <t>https://github.com/EaminC/AgentBug-Smith/blob/main/data/issues_80/issue_388.json</t>
  </si>
  <si>
    <t>Without Skill Test</t>
  </si>
  <si>
    <t>Although implemented on the Model class, this API is explicitly designed for proactive context window management, message token budgeting, and determining compression/compaction thresholds before dispatching requests to the LLM backend.</t>
  </si>
  <si>
    <t>With Skill Test</t>
  </si>
  <si>
    <t>This issue and patch directly target the MCP tool provider client, background transport session lifecycle, tool execution concurrency/hanging safeguards, and action interface availability checks.</t>
  </si>
  <si>
    <t>The issue targets how context tokens entering the LLM are structured, formatted, and optimized across multi-turn agent execution loops. By identifying immutable prefix boundaries (system instructions, tool schemas, accumulated conversational history) and injecting dynamic cache breakpoints (cachePoint / cache_control), the harness manages the active context window to optimize token throughput, eliminate redundant prefill costs (up to 90%), and lower time-to-first-token (TTFT).</t>
  </si>
  <si>
    <t>The issue occurs during graph-based agent orchestration where one node (agent) passes its output to the next node in the graph pipeline (multiagent/graph.py). The core failure is an orchestration serialization/routing bug where AgentResult.__str__ dropped typed structured_output whenever plain text was present, corrupting the intermediate state passed between coordinated agents.</t>
  </si>
  <si>
    <t>Harness Components Distribution</t>
  </si>
  <si>
    <t>https://github.com/EaminC/AgentBug-Smith/tree/main/results/all_combined_f2p/issue_2561_20260628T160144Z</t>
  </si>
  <si>
    <t>This issue and patch directly affect the tool error handling, result feedback formatting, and communication interface between tool execution routines and the agent model.</t>
  </si>
  <si>
    <t>Mini-swe-agent (Plausible)</t>
  </si>
  <si>
    <t>Mini-swe-agent (Correct)</t>
  </si>
  <si>
    <t>OpenHands (Plausible)</t>
  </si>
  <si>
    <t>OpenHands (Correct)</t>
  </si>
  <si>
    <t>AutoCodeRover (Plausible)</t>
  </si>
  <si>
    <t>This issue and patch directly target context window overflow detection, conversation history compaction/reduction triggers, and token boundary management across model inference sessions.</t>
  </si>
  <si>
    <t>AutoCodeRover (Correct)</t>
  </si>
  <si>
    <t>https://github.com/EaminC/AgentBug-Smith/blob/main/data/issues_80/issue_3979.json</t>
  </si>
  <si>
    <t>This issue specifically deals with runtime interrupt lifecycle handling and human-in-the-loop (HIL/HITL) pause mechanisms across multi-agent graph and swarm nodes, ensuring post-execution lifecycle events are suppressed during an interrupt state.</t>
  </si>
  <si>
    <t>https://github.com/EaminC/AgentBug-Smith/tree/main/results/all_combined_f2p/issue_2652_20260823T183858Z</t>
  </si>
  <si>
    <t>This issue and patch directly target conversation history reduction, prompt compaction, sliding window context optimization, and message memory management.</t>
  </si>
  <si>
    <t>This issue and patch directly target the agent's user-facing telemetry output, operational event stream consumption, console printing, and runtime callback handler observability.</t>
  </si>
  <si>
    <t>This issue directly modifies the core decision and control flow, iteration termination criteria, and step continuation logic of the agent's reasoning loop.</t>
  </si>
  <si>
    <t>This issue and patch directly concern runtime safety policies, input guardrail scoping, policy enforcement mechanisms, and security filtering boundaries.</t>
  </si>
  <si>
    <t>https://github.com/EaminC/AgentBug-Smith/tree/main/results/all_combined_f2p/issue_337_20260813T113844Z</t>
  </si>
  <si>
    <t>This feature directly targets the agent's short- and long-term memory layer, prompt context assembly with retrieved memories, vector/relational memory persistence, and cross-session state management.</t>
  </si>
  <si>
    <t>This feature directly concerns the agent's event-driven lifecycle registration system, enabling interception, modification, and custom control flow hooks attached to the observe-think-act orchestration loop.</t>
  </si>
  <si>
    <t>This feature extends the foundational initialization and lifecycle extension pipeline of the agent, providing a modular interface for composable plugins to hook into, steer, and configure the agent's core decision loop and operational behavior.</t>
  </si>
  <si>
    <t>https://github.com/EaminC/AgentBug-Smith/blob/main/data/issues_80/issue_3988.json</t>
  </si>
  <si>
    <t>Steering handlers dynamically guide, intercept, and alter the agent's decision-making and execution loop transitions (e.g., evaluating model outputs, forcing retries, injecting guidance, or redirecting tool selections mid-loop). Transitioning the handler to the Plugin lifecycle interface directly targets how execution steering is attached to the core orchestration cycle.</t>
  </si>
  <si>
    <t>https://github.com/EaminC/AgentBug-Smith/tree/main/results/all_combined_f2p/issue_2899_20260524T021939Z</t>
  </si>
  <si>
    <t>This architectural feature establishes the core extensibility protocol for intercepting and orchestrating agent lifecycle events, state setup, and runtime execution loops.</t>
  </si>
  <si>
    <t>This issue and patch directly target the serialization, schema formatting, and protocol compatibility of tool results and action outputs communicated between the agent harness and model backends.</t>
  </si>
  <si>
    <t>This issue and patch directly govern the agent invocation concurrency model, reentrant execution rules, and run-loop locking/synchronization policies within the core orchestration loop.</t>
  </si>
  <si>
    <t>Prompt caching is an optimization mechanism for context window and message prefix reuse, cache breakpoint placement in conversation histories, and prompt/token budgeting.</t>
  </si>
  <si>
    <t>https://github.com/EaminC/AgentBug-Smith/tree/main/results/all_combined_f2p/issue_411_20260510T154443Z</t>
  </si>
  <si>
    <t>This issue and patch directly target the tool adapter and communication layer—specifically tool invocation result handling, output deserialization/serialization into the harness's internal tool protocol (ToolChunk), and function-to-tool wrapping interfaces.</t>
  </si>
  <si>
    <t>This issue and patch directly concern message history persistence, KV storage lifecycle/expiration policies, and cross-session chat memory management.</t>
  </si>
  <si>
    <t>This feature directly extends the hook callback registration and event-dispatching architecture of the agent harness, allowing callbacks to listen to and participate in multiple lifecycle stages within the agent's observe-think-act orchestration loop.</t>
  </si>
  <si>
    <t>https://github.com/EaminC/AgentBug-Smith/blob/main/data/issues_80/issue_40.json</t>
  </si>
  <si>
    <t>This issue and fix directly concern process creation flags, OS-level subprocess isolation and containment, and the local execution runtime infrastructure used to run commands.</t>
  </si>
  <si>
    <t>This issue and patch directly concern context window management, context compression/eviction policies, active memory pruning, and short-term state lifecycle management across conversation turns.</t>
  </si>
  <si>
    <t>This issue and patch directly concern tool group discovery, tool registry management, dynamic capability exposure, and the tool/skill definition schemas presented to the agent.</t>
  </si>
  <si>
    <t>This component directly manages token budgeting, context window limits, and prompt state injection during agent execution.</t>
  </si>
  <si>
    <t>This issue and patch directly target the lifecycle, teardown, and resource cleanup of MCPClient / ToolProvider instances within the agent's tool action interface.</t>
  </si>
  <si>
    <t>https://github.com/EaminC/AgentBug-Smith/tree/main/results/all_combined_f2p/issue_1723_20260605T144633Z</t>
  </si>
  <si>
    <t>This change directly provides deterministic schema validation, output conformance verification, Pydantic type checking, and guardrails on agent-generated structured outputs.</t>
  </si>
  <si>
    <t>This issue and patch directly target LLM provider client adapters, request payload schema serialization, and API communication interfaces connecting the agent harness to external model services.</t>
  </si>
  <si>
    <t>This change directly configures process execution boundaries, workspace directory containment, and runtime environment settings for command execution within the agent harness.</t>
  </si>
  <si>
    <t>This issue and patch directly target the runtime authorization policy engine, permission rule inheritance across agent boundaries, security governance, and human-in-the-loop approval workflows.</t>
  </si>
  <si>
    <t>https://github.com/EaminC/AgentBug-Smith/blob/main/data/issues_80/issue_4072.json</t>
  </si>
  <si>
    <t>https://github.com/EaminC/AgentBug-Smith/tree/main/results/all_combined_f2p/issue_237_20260729T081457Z</t>
  </si>
  <si>
    <t>This issue and patch directly target agent state persistence, session synchronization, KV memory state tracking, and storage optimization across agent interaction turns.</t>
  </si>
  <si>
    <t>This issue and patch directly target the agent's turn completion conditions, termination/continuation predicates, and the observe-think-act control flow transitions in the core event loop.</t>
  </si>
  <si>
    <t>This issue and patch directly target Model Context Protocol (MCP) tool client capabilities, external tool adapter initialization handshakes, tool protocol metadata extraction, and tool interface discovery.</t>
  </si>
  <si>
    <t>https://github.com/EaminC/AgentBug-Smith/tree/main/results/all_combined_f2p/issue_1724_20260729T103415Z</t>
  </si>
  <si>
    <t>This issue and patch directly concern Model Context Protocol (MCP) client adapters, tool server connection lifecycles, configuration serialization/deserialization, and tool discovery mechanisms.</t>
  </si>
  <si>
    <t>https://github.com/EaminC/AgentBug-Smith/tree/main/results/all_combined_f2p/issue_5784_20260805T155858Z</t>
  </si>
  <si>
    <t>This issue and patch directly target prompt prefix caching strategy, cache point placement within the message history context, token optimization, and conversation formatting for model invocation.</t>
  </si>
  <si>
    <t>This issue and patch directly optimize session repository storage operations, session state deserialization/restoration, and persistent KV memory access.</t>
  </si>
  <si>
    <t>This issue and patch directly target the agent's real-time event streaming pipeline, telemetry emission order, and step-by-step event stream recording delivered to downstream consumers and monitors.</t>
  </si>
  <si>
    <t>https://github.com/EaminC/AgentBug-Smith/blob/main/data/issues_80/issue_4109.json</t>
  </si>
  <si>
    <t>This issue and patch directly target multi-agent coordination, cross-session execution pausing/resumption, message routing across agent hierarchies, and the orchestration loop governing distributed agent workflows.</t>
  </si>
  <si>
    <t>https://github.com/EaminC/AgentBug-Smith/tree/main/results/all_combined_f2p/issue_270_20260521T095849Z</t>
  </si>
  <si>
    <t>This issue and patch directly concern the tool calling and execution protocol, message payload serialization for model providers, and tool execution result formatting interfaces between the harness and model endpoints.</t>
  </si>
  <si>
    <t>This issue and patch directly target the tool result deserialization/serialization pipeline, payload aggregation protocols, and binary result handling interfaces within the tool communication layer.</t>
  </si>
  <si>
    <t>This issue and patch directly govern the lifecycle initialization, runtime orchestration settings, and loop control configurations (ReActConfig, max_iters) defining an agent's reasoning-acting loop.</t>
  </si>
  <si>
    <t>This issue and patch directly target context window compaction, long-term memory summarization policies, and conversation history preservation mechanisms.</t>
  </si>
  <si>
    <t>https://github.com/EaminC/AgentBug-Smith/tree/main/results/all_combined_f2p/issue_974_20260811T072652Z</t>
  </si>
  <si>
    <t>This issue and patch directly fix execution pipeline flow, middleware interceptor chains, and state parameter propagation governing the agent's core reasoning-acting orchestration loop.</t>
  </si>
  <si>
    <t>This feature directly concerns the authorization boundary, security policy enforcement, permission governance, and access control validation rules governing agent tool calls.</t>
  </si>
  <si>
    <t>https://github.com/EaminC/AgentBug-Smith/blob/main/data/issues_80/issue_411.json</t>
  </si>
  <si>
    <t>This issue and patch directly target runtime telemetry, token consumption accounting, OpenTelemetry metrics collection, and operational observability across model inference invocations.</t>
  </si>
  <si>
    <t>This issue and patch directly address local filesystem resolution, workspace directory initialization, and environment configuration governing how the agent's sandbox interfaces with the host operating system.</t>
  </si>
  <si>
    <t>https://github.com/EaminC/AgentBug-Smith/tree/main/results/all_combined_f2p/issue_2434_20260717T190630Z</t>
  </si>
  <si>
    <t>This issue and patch directly affect workspace infrastructure, tool execution backends, and sandbox runtime environments governing how tools interact with local and remote filesystems.</t>
  </si>
  <si>
    <t>This issue directly alters the execution control flow and input event processing of the bidirectional agent loop (BidiAgentLoop), ensuring custom event roles (e.g., injected assistant context) are faithfully routed and recorded into the agent's message stream during loop iterations.</t>
  </si>
  <si>
    <t>Agent skills in this architecture act as specialized functional capabilities and tool definitions (managing action discovery, capability manifests, execution instructions, and tool adaptation). Extending skill ingestion to remote endpoints directly pertains to the agent's tool discovery and capability interface.</t>
  </si>
  <si>
    <t>This issue and patch directly target context window boundary splitting, conversation history slicing, and context compression consistency across message turns.</t>
  </si>
  <si>
    <t>https://github.com/EaminC/AgentBug-Smith/blob/main/data/issues_80/issue_4229.json</t>
  </si>
  <si>
    <t>This issue specifically handles the conversion, schema normalization, and bidirectional serialization/deserialization of tool execution results (toolResult) across the model-provider tool protocol boundary.</t>
  </si>
  <si>
    <t>This issue and patch directly target host OS detection, platform-specific command execution runners, shell environment provisioning, and runtime sandbox containment for local agent workspaces.</t>
  </si>
  <si>
    <t>https://github.com/EaminC/AgentBug-Smith/tree/main/results/all_combined_f2p/issue_2635_20260823T201645Z</t>
  </si>
  <si>
    <t>This change directly affects default foundation model selection and configuration during agent instantiation, governing model execution and the inference engine driving the observe-think-act decision loop.</t>
  </si>
  <si>
    <t>The issue directly involves system prompt assembly, structured content block preservation, and prompt caching mechanisms (cachePoint) within the context and memory management layer of the agent harness.</t>
  </si>
  <si>
    <t>This issue and patch directly concern LLM provider protocol adapters, model-specific payload serialization/deserialization, and message schema compliance required by provider API contracts.</t>
  </si>
  <si>
    <t>This issue directly governs loop termination conditions, cycle control flow, error state recovery policies, and execution lifecycle resilience within the core agent event loop.</t>
  </si>
  <si>
    <t>https://github.com/EaminC/AgentBug-Smith/tree/main/results/all_combined_f2p/issue_2122_20260820T091450Z</t>
  </si>
  <si>
    <t>This bug and its patch directly target the agent's real-time event streaming pipeline, stream state transitions, and event lifecycle telemetry delivered to consumers and observability platforms.</t>
  </si>
  <si>
    <t>https://github.com/EaminC/AgentBug-Smith/blob/main/data/issues_80/issue_429.json</t>
  </si>
  <si>
    <t>This issue specifically targets conversation history management, context reduction, message windowing, and managing context window overflow constraints within the context and memory management layer.</t>
  </si>
  <si>
    <t>This issue and patch directly target the tool result aggregation contract, tool execution state management, and the action-result interface between tool executions and the agent harness.</t>
  </si>
  <si>
    <t>This issue and patch directly concern LLM provider protocol adapters, model-specific parameter configuration, and request schema formatting compliance required by upstream provider API contracts.</t>
  </si>
  <si>
    <t>https://github.com/EaminC/AgentBug-Smith/tree/main/results/all_combined_f2p/issue_2130_20260810T101709Z</t>
  </si>
  <si>
    <t>This issue and patch directly govern context window sizing, token budgeting limits, and prompt history capacity management to prevent message cutoff across conversation turns.</t>
  </si>
  <si>
    <t>This issue and patch directly govern the observe-think-act control flow, iteration counter accounting, and loop termination boundaries within the agent's core ReAct decision cycle.</t>
  </si>
  <si>
    <t>https://github.com/EaminC/AgentBug-Smith/blob/main/data/issues_80/issue_441.json</t>
  </si>
  <si>
    <t>This change directly modifies conversation history retention, message pruning policies, and context window sliding mechanics within the context and memory management layer.</t>
  </si>
  <si>
    <t>This issue and patch directly target model response schema definitions, provider completion wrapper abstractions, and protocol serialization/deserialization contracts across the model/tool action interface.</t>
  </si>
  <si>
    <t>https://github.com/EaminC/AgentBug-Smith/tree/main/results/all_combined_f2p/issue_6050_20260805T172922Z</t>
  </si>
  <si>
    <t>This enhancement directly modifies tool schema definitions, schema validation constraints, and the serialization of tool specifications over the model-tool communication interface.</t>
  </si>
  <si>
    <t>This issue directly concerns runtime operational telemetry, latency measurements, event stream metadata, and metric schema validation for downstream monitoring.</t>
  </si>
  <si>
    <t>This issue specifically deals with asynchronous task lifecycle management, background worker cleanup, stream termination, and cancellation propagation during model invocation within the agent's execution loop.</t>
  </si>
  <si>
    <t>https://github.com/EaminC/AgentBug-Smith/tree/main/results/all_combined_f2p/issue_1793_20260826T195023Z</t>
  </si>
  <si>
    <t>This issue and patch establish the foundational LLM client protocol, provider abstraction interface, and model request/response communication adapter required for the agent harness to interact with model backends.</t>
  </si>
  <si>
    <t>This issue directly governs conversation history sanitization, session state restoration, and chat history repair within the persistent memory and session management layer.</t>
  </si>
  <si>
    <t>This issue directly concerns tool schema handling, function tool spec formatting, and payload assembly for passing tool definitions across model invocation boundaries.</t>
  </si>
  <si>
    <t>Managing invocation state, agent memory repositories, session persistence, and multi-turn message history storage falls directly under the Context &amp; Memory Management layer of the agent harness.</t>
  </si>
  <si>
    <t>https://github.com/EaminC/AgentBug-Smith/blob/main/data/issues_80/issue_4543.json</t>
  </si>
  <si>
    <t>This change directly targets token budgeting, context size estimation, and token counting logic required for context window calculation and triggering context management plugins (such as ContextOffloader).</t>
  </si>
  <si>
    <t>This issue specifically targets conversation history parsing, message content formatting, and context assembly when formatting stored multi-turn messages for model ingestion.</t>
  </si>
  <si>
    <t>This issue and patch directly target prompt context assembly, cross-task state propagation, and history windowing/isolation between sequential agent tasks.</t>
  </si>
  <si>
    <t>This issue and patch target the agent harness's LLM provider client library dependencies and model adapter layer, enabling compatibility with updated multi-modal input payloads and provider API protocols.</t>
  </si>
  <si>
    <t>Although related to LLM class hierarchies, the specific failure occurs within the agent's runtime guardrail enforcement and output verification subsystem, which deterministically validates agent responses against configured policies.</t>
  </si>
  <si>
    <t>https://github.com/EaminC/AgentBug-Smith/tree/main/results/all_combined_f2p/issue_563_20260623T223350Z</t>
  </si>
  <si>
    <t>https://github.com/EaminC/AgentBug-Smith/blob/main/data/issues_80/issue_4841.json</t>
  </si>
  <si>
    <t>This port introduces outermost stream-level interception, execution cycle wrappers, and pass-level human-in-the-loop interrupt handling into the agent execution loop and orchestration pipeline.</t>
  </si>
  <si>
    <t>This issue specifically targets runtime error classification, throttling detection, and failure recovery policies that trigger the agent event loop's exponential-backoff retry strategy (ModelRetryStrategy).</t>
  </si>
  <si>
    <t>This issue and patch directly target the agent harness's state and memory retrieval backend (Mem0 / vector stores), memory persistence schemas, and context assembly mechanisms used to build prompt context across tasks.</t>
  </si>
  <si>
    <t>This issue directly governs conversation history formatting, multi-turn message replay, and context assembly across model provider boundaries.</t>
  </si>
  <si>
    <t>This issue concerns model execution configuration, sampling parameter translation, and payload formatting for driving model inference during the core decision/generation step of the agent loop.</t>
  </si>
  <si>
    <t>This issue directly affects streaming delta assembly and content block state transitions within the agent execution loop (process_stream), ensuring multi-block thinking deltas and model signatures are correctly assembled during turn execution.</t>
  </si>
  <si>
    <t>https://github.com/EaminC/AgentBug-Smith/blob/main/data/issues_80/issue_513.json</t>
  </si>
  <si>
    <t>This issue specifically addresses tool execution semantics, exception mapping, action result serialization, and adherence to the standard tool result schema (status: "error" vs. status: "success").</t>
  </si>
  <si>
    <t>ContextOffloader and its underlying FileStorage mechanism serve as a long-context state offloading and memory retrieval layer. This fix specifically addresses reference resolution and offloaded context retrieval from external storage backends back into the agent context.</t>
  </si>
  <si>
    <t>https://github.com/EaminC/AgentBug-Smith/tree/main/results/all_combined_f2p/issue_2207_20260809T152833Z</t>
  </si>
  <si>
    <t>This feature specifically implements policy enforcement, risk-based access control, privilege boundary verification, and human-in-the-loop (HITL) authorization guardrails for agent actions.</t>
  </si>
  <si>
    <t>https://github.com/EaminC/AgentBug-Smith/tree/main/results/all_combined_f2p/issue_182_20260629T003502Z</t>
  </si>
  <si>
    <t>BedrockKnowledgeBaseStore is a long-term memory store implementation designed for vector search, RAG retrieval, and external memory persistence across agent sessions within the memory management layer.</t>
  </si>
  <si>
    <t>This issue directly addresses runtime operational metrics tracking, token usage accounting, spend telemetry, and ensuring complete telemetry recording across retried model invocations.</t>
  </si>
  <si>
    <t>https://github.com/EaminC/AgentBug-Smith/blob/main/data/issues_80/issue_5557.json</t>
  </si>
  <si>
    <t>This issue directly governs model execution routing, endpoint resolution, and provider protocol dispatching for invoking foundation models during the think/act decision phase of the agent lifecycle loop.</t>
  </si>
  <si>
    <t>https://github.com/EaminC/AgentBug-Smith/tree/main/results/all_combined_f2p/issue_6585_20260805T202509Z</t>
  </si>
  <si>
    <t>This issue and patch directly target MCP client transport communication, tool discovery initialization, and the action-interface protocol connecting the agent harness to external MCP tool servers.</t>
  </si>
  <si>
    <t>SWE-FACTORY</t>
  </si>
  <si>
    <t>https://github.com/EaminC/AgentBug-Smith/blob/main/data/issues_80/issue_56.json</t>
  </si>
  <si>
    <t>dapr-agent</t>
  </si>
  <si>
    <t>This issue directly targets host OS execution environments, runtime process lifecycle management, cross-platform signal isolation, and runtime environment execution compatibility.</t>
  </si>
  <si>
    <t>https://github.com/EaminC/AgentBug-Smith/blob/main/data/issues_80/issue_5700.json</t>
  </si>
  <si>
    <t>https://github.com/EaminC/AgentBug-Smith/tree/main/results/all_combined_f2p/issue_3493_20260822T091738Z</t>
  </si>
  <si>
    <t>https://github.com/EaminC/AgentBug-Smith/tree/main/results/all_combined_f2p/issue_2130_20260823T112024Z</t>
  </si>
  <si>
    <t>https://github.com/EaminC/AgentBug-Smith/blob/main/data/issues_80/issue_5739.json</t>
  </si>
  <si>
    <t>https://github.com/EaminC/AgentBug-Smith/tree/main/results/all_combined_f2p/issue_1892_20260729T152208Z</t>
  </si>
  <si>
    <t>https://github.com/EaminC/AgentBug-Smith/tree/main/results/all_combined_f2p/issue_3266_20260805T121048Z</t>
  </si>
  <si>
    <t>https://github.com/EaminC/AgentBug-Smith/blob/main/data/issues_80/issue_5741.json</t>
  </si>
  <si>
    <t>https://github.com/EaminC/AgentBug-Smith/tree/main/results/all_combined_f2p/issue_1900_20260729T153729Z</t>
  </si>
  <si>
    <t>https://github.com/EaminC/AgentBug-Smith/blob/main/data/issues_80/issue_5769.json</t>
  </si>
  <si>
    <t>https://github.com/EaminC/AgentBug-Smith/tree/main/results/all_combined_f2p/issue_563_20260730T151938Z</t>
  </si>
  <si>
    <t>This issue and patch directly concern LLM provider payload serialization, chat completion schema normalization, and client adapter compatibility layers required to communicate with external model endpoints.</t>
  </si>
  <si>
    <t>https://github.com/EaminC/AgentBug-Smith/tree/main/results/all_combined_f2p/issue_1904_20260729T163017Z</t>
  </si>
  <si>
    <t>This update directly configures token limits, context window sizing, and token budgeting parameters used by the harness to manage message truncation, prompt assembly, and active context limits during agent execution.</t>
  </si>
  <si>
    <t>https://github.com/EaminC/AgentBug-Smith/tree/main/results/all_combined_f2p/issue_240_20260522T221855Z</t>
  </si>
  <si>
    <t>https://github.com/EaminC/AgentBug-Smith/blob/main/data/issues_80/issue_5784.json</t>
  </si>
  <si>
    <t>https://github.com/EaminC/AgentBug-Smith/tree/main/results/all_combined_f2p/issue_2968_20260717T205549Z</t>
  </si>
  <si>
    <t>This change directly targets the tool protocol integration layer—specifically the Model Context Protocol (MCP) server adapter, transport connection parameters, and tool discovery interface.</t>
  </si>
  <si>
    <t>https://github.com/EaminC/AgentBug-Smith/blob/main/data/issues_80/issue_5787.json</t>
  </si>
  <si>
    <t>langflow</t>
  </si>
  <si>
    <t>This issue directly concerns message history schema serialization, conversation log persistence across sessions, and relational database storage for multimodal context.</t>
  </si>
  <si>
    <t>This issue directly concerns asynchronous task scheduling, sub-task lifecycle execution, error handling policies, and loop termination mechanics within the core orchestrator.</t>
  </si>
  <si>
    <t>https://github.com/EaminC/AgentBug-Smith/tree/main/results/all_combined_f2p/issue_29_20260614T084508Z</t>
  </si>
  <si>
    <t>Resolved by 3 agents</t>
  </si>
  <si>
    <t>Correctly resolved by mini-swe-agent &amp; auto-code-rover</t>
  </si>
  <si>
    <t>https://github.com/EaminC/AgentBug-Smith/blob/main/data/issues_80/issue_6050.json</t>
  </si>
  <si>
    <t>Correctly resolved by mini-swe-agent and openhands</t>
  </si>
  <si>
    <t>https://github.com/EaminC/AgentBug-Smith/tree/main/results/all_combined_f2p/issue_266_20260622T100845Z</t>
  </si>
  <si>
    <t>Correct resolved by auto-code-rover &amp; openhands</t>
  </si>
  <si>
    <t>Mini-swe-agent</t>
  </si>
  <si>
    <t>This issue and patch directly concern the tool definition schema parser, runtime argument injection protocols, and tool calling interface.</t>
  </si>
  <si>
    <t>* the generated patch has similar fix but it has either less or more changes than ground truth</t>
  </si>
  <si>
    <t>Harness Component</t>
  </si>
  <si>
    <t>Summary of Plausible Resolved</t>
  </si>
  <si>
    <t>https://github.com/EaminC/AgentBug-Smith/tree/main/results/all_combined_f2p/issue_2191_20260803T014118Z</t>
  </si>
  <si>
    <t>The fix is in the example not the agent itself. Therefore, I don't think it is agent issue.</t>
  </si>
  <si>
    <t>https://github.com/EaminC/AgentBug-Smith/blob/main/data/issues_80/issue_6072.json</t>
  </si>
  <si>
    <t>https://github.com/EaminC/AgentBug-Smith/tree/main/results/all_combined_f2p/issue_231_20260812T204159Z</t>
  </si>
  <si>
    <t>*</t>
  </si>
  <si>
    <t>https://github.com/EaminC/AgentBug-Smith/blob/main/data/issues_80/issue_6212.json</t>
  </si>
  <si>
    <t>https://github.com/EaminC/AgentBug-Smith/tree/main/results/all_combined_f2p/issue_962_20260623T024247Z</t>
  </si>
  <si>
    <t>https://github.com/EaminC/AgentBug-Smith/blob/main/data/issues_80/issue_6302.json</t>
  </si>
  <si>
    <t>Total Correctly Resolved</t>
  </si>
  <si>
    <t>https://github.com/EaminC/AgentBug-Smith/tree/main/results/all_combined_f2p/issue_2166_20260808T214256Z</t>
  </si>
  <si>
    <t>autogpt</t>
  </si>
  <si>
    <t>This issue and patch directly target the tool execution pipeline, input argument validation, and parameter sanitization layer that validates structured LLM tool invocations before dispatching actions to tools.</t>
  </si>
  <si>
    <t>AGENT HARNESS COMPONENTS</t>
  </si>
  <si>
    <t>https://github.com/EaminC/AgentBug-Smith/blob/main/data/issues_80/issue_6409.json</t>
  </si>
  <si>
    <t>Summary of Correctly Resolved</t>
  </si>
  <si>
    <t>Components</t>
  </si>
  <si>
    <t>First 75 Issues</t>
  </si>
  <si>
    <t>Extended Benchmark (extra 125 issues)</t>
  </si>
  <si>
    <t>Total AgentBug-Smith (75 + 125 issues)</t>
  </si>
  <si>
    <t>https://github.com/EaminC/AgentBug-Smith/tree/main/results/all_combined_f2p/issue_3899_20260523T160836Z</t>
  </si>
  <si>
    <t>https://github.com/EaminC/AgentBug-Smith/blob/main/data/issues_80/issue_6465.json</t>
  </si>
  <si>
    <t>https://github.com/EaminC/AgentBug-Smith/tree/main/results/all_combined_f2p/issue_5787_20260805T122049Z</t>
  </si>
  <si>
    <t>https://github.com/EaminC/AgentBug-Smith/blob/main/data/issues_80/issue_6585.json</t>
  </si>
  <si>
    <t>https://github.com/EaminC/AgentBug-Smith/tree/main/results/all_combined_f2p/issue_3226_20260822T080137Z</t>
  </si>
  <si>
    <t>https://github.com/EaminC/AgentBug-Smith/tree/main/results/all_combined_f2p/issue_5700_20260805T150027Z</t>
  </si>
  <si>
    <t>https://github.com/EaminC/AgentBug-Smith/blob/main/data/issues_80/issue_66.json</t>
  </si>
  <si>
    <t>DO NOT LABEL THIS LIST YET! I RE-WATCHED THE VIDEO AND I THINK THIS LIST IS NOT THE ONES WE SHOULD JUDGE.</t>
  </si>
  <si>
    <t>You can label the list below. Thanks!</t>
  </si>
  <si>
    <t>https://github.com/EaminC/AgentBug-Smith/blob/main/data/issues_80/issue_682.json</t>
  </si>
  <si>
    <t>https://github.com/EaminC/AgentBug-Smith/blob/main/data/issues_80/issue_70.json</t>
  </si>
  <si>
    <t>SE AGENTS EXPERIMENT (200 issues)</t>
  </si>
  <si>
    <t>Notes:</t>
  </si>
  <si>
    <t>https://github.com/EaminC/AgentBug-Smith/blob/main/data/issues_80/issue_700.json</t>
  </si>
  <si>
    <t>* cost calculation using sample of 5 patches generation attempts.</t>
  </si>
  <si>
    <r>
      <rPr/>
      <t xml:space="preserve">- OpenHands: I set max of 60 iterations per instance (following SWE-bench Goes Live! paper - </t>
    </r>
    <r>
      <rPr>
        <color rgb="FF1155CC"/>
        <u/>
      </rPr>
      <t>https://arxiv.org/html/2505.23419v2)</t>
    </r>
  </si>
  <si>
    <t>https://github.com/EaminC/AgentBug-Smith/blob/main/data/issues_80/issue_71.json</t>
  </si>
  <si>
    <t>- There are some empty patches</t>
  </si>
  <si>
    <t>w/o skill test</t>
  </si>
  <si>
    <t>w/ skill test</t>
  </si>
  <si>
    <t>https://github.com/EaminC/AgentBug-Smith/blob/main/data/issues_80/issue_768.json</t>
  </si>
  <si>
    <t>https://github.com/EaminC/AgentBug-Smith/blob/main/data/issues_80/issue_793.json</t>
  </si>
  <si>
    <t>Correctly Resolved Summary</t>
  </si>
  <si>
    <t>Correctly resolved by 3 SE Agents</t>
  </si>
  <si>
    <t>Correctly resolved by mini-swe-agent &amp; openhands</t>
  </si>
  <si>
    <t>Correctly resolved by auto-code-rover &amp; openhands</t>
  </si>
  <si>
    <t>auto-code-rover</t>
  </si>
  <si>
    <t>Correctly resolved by mini-swe-agent only</t>
  </si>
  <si>
    <t>Correctly resolved by auto-code-rover only</t>
  </si>
  <si>
    <t>Correctly resolved by openhands only</t>
  </si>
  <si>
    <t>https://github.com/EaminC/AgentBug-Smith/blob/main/data/issues_80/issue_83.json</t>
  </si>
  <si>
    <t>https://github.com/EaminC/AgentBug-Smith/blob/main/data/issues_80/issue_87.json</t>
  </si>
  <si>
    <t>https://github.com/EaminC/AgentBug-Smith/blob/main/data/issues_80/issue_878.json</t>
  </si>
  <si>
    <t>Repos that we got f2p:</t>
  </si>
  <si>
    <t>https://github.com/EaminC/AgentBug-Smith/blob/main/data/issues_80/issue_91.json</t>
  </si>
  <si>
    <t>https://github.com/EaminC/AgentBug-Smith/blob/main/data/issues_80/issue_921.json</t>
  </si>
  <si>
    <t>Test In-Patch Duration for AgentBug-Smith</t>
  </si>
  <si>
    <t>64m 54s</t>
  </si>
  <si>
    <t>DeepSeek-v3.2</t>
  </si>
  <si>
    <t>63m 14s</t>
  </si>
  <si>
    <t>51m 32s</t>
  </si>
  <si>
    <t>- Some got f2f or p2p</t>
  </si>
  <si>
    <t>- Network issue</t>
  </si>
  <si>
    <t>Deadline FSE:</t>
  </si>
  <si>
    <t>Oct 2</t>
  </si>
  <si>
    <t>https://github.com/EaminC/AgentBug-Smith/blob/main/data/issues_80/issue_923.json</t>
  </si>
  <si>
    <t>https://github.com/EaminC/AgentBug-Smith/blob/main/data/issues_80/issue_928.json</t>
  </si>
  <si>
    <t>https://github.com/EaminC/AgentBug-Smith/blob/main/data/issues_80/issue_942.json</t>
  </si>
  <si>
    <t>https://github.com/EaminC/AgentBug-Smith/blob/main/data/issues_80/issue_974.json</t>
  </si>
  <si>
    <t>https://github.com/EaminC/AgentBug-Smith/blob/main/data/issues_70/issue_1016.json</t>
  </si>
  <si>
    <t>https://github.com/EaminC/AgentBug-Smith/blob/main/data/issues_70/issue_1059.json</t>
  </si>
  <si>
    <t>https://github.com/EaminC/AgentBug-Smith/blob/main/data/issues_70/issue_1112.json</t>
  </si>
  <si>
    <t>https://github.com/EaminC/AgentBug-Smith/blob/main/data/issues_70/issue_1115.json</t>
  </si>
  <si>
    <t>https://github.com/EaminC/AgentBug-Smith/blob/main/data/issues_70/issue_1148.json</t>
  </si>
  <si>
    <t>https://github.com/EaminC/AgentBug-Smith/blob/main/data/issues_70/issue_1174.json</t>
  </si>
  <si>
    <t>https://github.com/EaminC/AgentBug-Smith/blob/main/data/issues_70/issue_1220.json</t>
  </si>
  <si>
    <t>https://github.com/EaminC/AgentBug-Smith/blob/main/data/issues_70/issue_1275.json</t>
  </si>
  <si>
    <t>https://github.com/EaminC/AgentBug-Smith/blob/main/data/issues_70/issue_1327.json</t>
  </si>
  <si>
    <t>https://github.com/EaminC/AgentBug-Smith/blob/main/data/issues_70/issue_1430.json</t>
  </si>
  <si>
    <t>Trajectory tracing, token/cost tracking, error logging, event telemetry, and debugging/replay infrastructure.</t>
  </si>
  <si>
    <t>https://github.com/EaminC/AgentBug-Smith/blob/main/data/issues_70/issue_149.json</t>
  </si>
  <si>
    <t>https://github.com/EaminC/AgentBug-Smith/blob/main/data/issues_70/issue_1539.json</t>
  </si>
  <si>
    <t>Does this not include as dependency issue in the agent components?</t>
  </si>
  <si>
    <t>https://github.com/EaminC/AgentBug-Smith/blob/main/data/issues_70/issue_160.json</t>
  </si>
  <si>
    <t>https://github.com/EaminC/AgentBug-Smith/blob/main/data/issues_70/issue_166.json</t>
  </si>
  <si>
    <t>https://github.com/EaminC/AgentBug-Smith/blob/main/data/issues_70/issue_184.json</t>
  </si>
  <si>
    <t>https://github.com/EaminC/AgentBug-Smith/blob/main/data/issues_70/issue_211.json</t>
  </si>
  <si>
    <t>https://github.com/EaminC/AgentBug-Smith/blob/main/data/issues_70/issue_220.json</t>
  </si>
  <si>
    <t>https://github.com/EaminC/AgentBug-Smith/blob/main/data/issues_70/issue_245.json</t>
  </si>
  <si>
    <t>https://github.com/EaminC/AgentBug-Smith/blob/main/data/issues_70/issue_253.json</t>
  </si>
  <si>
    <t>https://github.com/EaminC/AgentBug-Smith/blob/main/data/issues_70/issue_259.json</t>
  </si>
  <si>
    <t>https://github.com/EaminC/AgentBug-Smith/blob/main/data/issues_70/issue_2598.json</t>
  </si>
  <si>
    <t>AGENT FRAMEWORKS</t>
  </si>
  <si>
    <t>https://github.com/EaminC/AgentBug-Smith/blob/main/data/issues_70/issue_266.json</t>
  </si>
  <si>
    <t>Repo link</t>
  </si>
  <si>
    <t>Language</t>
  </si>
  <si>
    <t>Total Issues with In-Patch (on 80)</t>
  </si>
  <si>
    <t>Total Issues without In-Patch (on 80)</t>
  </si>
  <si>
    <t>Total Issues (on 80)</t>
  </si>
  <si>
    <t>Total F2P With In-Patch (on 80)</t>
  </si>
  <si>
    <t>https://github.com/EaminC/AgentBug-Smith/blob/main/data/issues_70/issue_270.json</t>
  </si>
  <si>
    <t>Total F2P Without In-Patch (on 80)</t>
  </si>
  <si>
    <t>Total F2P (on 80)</t>
  </si>
  <si>
    <t>第 13 列</t>
  </si>
  <si>
    <t>Total Issues with In-Patch (on 70)</t>
  </si>
  <si>
    <t>Total Issues without In-Patch (on 70)</t>
  </si>
  <si>
    <t>Total Issues (on 70)</t>
  </si>
  <si>
    <t>Total F2P With In-Patch (on 70)</t>
  </si>
  <si>
    <t>Total F2P Without In-Patch (on 70)</t>
  </si>
  <si>
    <t>Total F2P (on 70)</t>
  </si>
  <si>
    <t>Column 17</t>
  </si>
  <si>
    <t>Total Issues with In-Patch (on 50)</t>
  </si>
  <si>
    <t>https://github.com/EaminC/AgentBug-Smith/blob/main/data/issues_70/issue_2864.json</t>
  </si>
  <si>
    <t>Total Issues without In-Patch (on 50)</t>
  </si>
  <si>
    <t>Total Issues (on 50)</t>
  </si>
  <si>
    <t>Total F2P With In-Patch (on 50)</t>
  </si>
  <si>
    <t>Total F2P Without In-Patch (on 50)</t>
  </si>
  <si>
    <t>Total F2P (data: 50)</t>
  </si>
  <si>
    <t>Column 17 2</t>
  </si>
  <si>
    <t>Total Issues with In-Patch (on 25)</t>
  </si>
  <si>
    <t>Total Issues without In-Patch (on 25)</t>
  </si>
  <si>
    <t>https://github.com/EaminC/AgentBug-Smith/blob/main/data/issues_70/issue_298.json</t>
  </si>
  <si>
    <t>Total Issues (on 25)</t>
  </si>
  <si>
    <t>Total F2P With In-Patch (on 25)</t>
  </si>
  <si>
    <t>Total F2P Without In-Patch (on 25)</t>
  </si>
  <si>
    <t>Total F2P (data: 25)</t>
  </si>
  <si>
    <t>Column 17 3</t>
  </si>
  <si>
    <t>https://github.com/EaminC/AgentBug-Smith/blob/main/data/issues_70/issue_3005.json</t>
  </si>
  <si>
    <t>Python</t>
  </si>
  <si>
    <t>https://github.com/EaminC/AgentBug-Smith/blob/main/data/issues_70/issue_302.json</t>
  </si>
  <si>
    <t>Total Issues with In-Patch</t>
  </si>
  <si>
    <t>https://github.com/EaminC/AgentBug-Smith/blob/main/data/issues_70/issue_322.json</t>
  </si>
  <si>
    <t>Total Issues without In-Patch</t>
  </si>
  <si>
    <t>https://github.com/EaminC/AgentBug-Smith/blob/main/data/issues_70/issue_3415.json</t>
  </si>
  <si>
    <t>https://github.com/EaminC/AgentBug-Smith/blob/main/data/issues_70/issue_3584.json</t>
  </si>
  <si>
    <t>https://github.com/EaminC/AgentBug-Smith/blob/main/data/issues_70/issue_3633.json</t>
  </si>
  <si>
    <t>https://github.com/EaminC/AgentBug-Smith/blob/main/data/issues_70/issue_3662.json</t>
  </si>
  <si>
    <t>Typescript</t>
  </si>
  <si>
    <t>https://github.com/EaminC/AgentBug-Smith/blob/main/data/issues_70/issue_3807.json</t>
  </si>
  <si>
    <t>https://github.com/EaminC/AgentBug-Smith/blob/main/data/issues_70/issue_3836.json</t>
  </si>
  <si>
    <t>https://github.com/EaminC/AgentBug-Smith/blob/main/data/issues_70/issue_4182.json</t>
  </si>
  <si>
    <t>https://github.com/EaminC/AgentBug-Smith/blob/main/data/issues_70/issue_43.json</t>
  </si>
  <si>
    <t>https://github.com/EaminC/AgentBug-Smith/blob/main/data/issues_70/issue_4334.json</t>
  </si>
  <si>
    <t>https://github.com/EaminC/AgentBug-Smith/blob/main/data/issues_70/issue_442.json</t>
  </si>
  <si>
    <t>https://github.com/EaminC/AgentBug-Smith/blob/main/data/issues_70/issue_4947.json</t>
  </si>
  <si>
    <t>https://github.com/EaminC/AgentBug-Smith/blob/main/data/issues_70/issue_5178.json</t>
  </si>
  <si>
    <t>https://github.com/EaminC/AgentBug-Smith/blob/main/data/issues_70/issue_5338.json</t>
  </si>
  <si>
    <t>https://github.com/EaminC/AgentBug-Smith/blob/main/data/issues_70/issue_5343.json</t>
  </si>
  <si>
    <t>https://github.com/EaminC/AgentBug-Smith/blob/main/data/issues_70/issue_536.json</t>
  </si>
  <si>
    <t>https://github.com/EaminC/AgentBug-Smith/blob/main/data/issues_70/issue_5452.json</t>
  </si>
  <si>
    <t>https://github.com/EaminC/AgentBug-Smith/blob/main/data/issues_70/issue_5489.json</t>
  </si>
  <si>
    <t>https://github.com/EaminC/AgentBug-Smith/blob/main/data/issues_70/issue_5517.json</t>
  </si>
  <si>
    <t>https://github.com/EaminC/AgentBug-Smith/blob/main/data/issues_70/issue_5616.json</t>
  </si>
  <si>
    <t>Cloud SDK config issue, not agent component issue</t>
  </si>
  <si>
    <t>https://github.com/EaminC/AgentBug-Smith/blob/main/data/issues_70/issue_5781.json</t>
  </si>
  <si>
    <t>https://github.com/EaminC/AgentBug-Smith/blob/main/data/issues_70/issue_5950.json</t>
  </si>
  <si>
    <t>https://github.com/EaminC/AgentBug-Smith/blob/main/data/issues_70/issue_596.json</t>
  </si>
  <si>
    <t>https://github.com/EaminC/AgentBug-Smith/blob/main/data/issues_70/issue_610.json</t>
  </si>
  <si>
    <t>https://github.com/EaminC/AgentBug-Smith/blob/main/data/issues_70/issue_650.json</t>
  </si>
  <si>
    <t>https://github.com/EaminC/AgentBug-Smith/blob/main/data/issues_70/issue_665.json</t>
  </si>
  <si>
    <t>https://github.com/EaminC/AgentBug-Smith/blob/main/data/issues_70/issue_6744.json</t>
  </si>
  <si>
    <t>https://github.com/EaminC/AgentBug-Smith/blob/main/data/issues_70/issue_687.json</t>
  </si>
  <si>
    <t>https://github.com/EaminC/AgentBug-Smith/blob/main/data/issues_70/issue_692.json</t>
  </si>
  <si>
    <t>https://github.com/EaminC/AgentBug-Smith/blob/main/data/issues_70/issue_697.json</t>
  </si>
  <si>
    <t>https://github.com/EaminC/AgentBug-Smith/blob/main/data/issues_70/issue_749.json</t>
  </si>
  <si>
    <t>https://github.com/EaminC/AgentBug-Smith/blob/main/data/issues_70/issue_773.json</t>
  </si>
  <si>
    <t>https://github.com/EaminC/AgentBug-Smith/blob/main/data/issues_70/issue_80.json</t>
  </si>
  <si>
    <t>https://github.com/EaminC/AgentBug-Smith/blob/main/data/issues_70/issue_8226.json</t>
  </si>
  <si>
    <t>https://github.com/EaminC/AgentBug-Smith/blob/main/data/issues_70/issue_8666.json</t>
  </si>
  <si>
    <t>https://github.com/EaminC/AgentBug-Smith/blob/main/data/issues_70/issue_869.json</t>
  </si>
  <si>
    <t>https://github.com/EaminC/AgentBug-Smith/blob/main/data/issues_70/issue_875.json</t>
  </si>
  <si>
    <t>https://github.com/EaminC/AgentBug-Smith/blob/main/data/issues_70/issue_899.json</t>
  </si>
  <si>
    <t>https://github.com/EaminC/AgentBug-Smith/blob/main/data/issues_70/issue_905.json</t>
  </si>
  <si>
    <t>https://github.com/EaminC/AgentBug-Smith/blob/main/data/issues_70/issue_9409.json</t>
  </si>
  <si>
    <t>https://github.com/EaminC/AgentBug-Smith/blob/main/data/issues_70/issue_959.json</t>
  </si>
  <si>
    <t>This one I agree with you. I think it is not agent issue since there is no fix for the modelwrapper, the ground-truth patch only raise valueerror</t>
  </si>
  <si>
    <t>https://github.com/EaminC/AgentBug-Smith/blob/main/data/issues_70/issue_962.json</t>
  </si>
  <si>
    <t>https://github.com/EaminC/AgentBug-Smith/blob/main/data/issues_70/issue_979.json</t>
  </si>
  <si>
    <t>https://github.com/EaminC/AgentBug-Smith/blob/main/data/issues_50/issue_1058.json</t>
  </si>
  <si>
    <t>https://github.com/EaminC/AgentBug-Smith/blob/main/data/issues_50/issue_1110.json</t>
  </si>
  <si>
    <t>https://github.com/EaminC/AgentBug-Smith/blob/main/data/issues_50/issue_1153.json</t>
  </si>
  <si>
    <t>https://github.com/EaminC/AgentBug-Smith/blob/main/data/issues_50/issue_1160.json</t>
  </si>
  <si>
    <t>https://github.com/EaminC/AgentBug-Smith/blob/main/data/issues_50/issue_1297.json</t>
  </si>
  <si>
    <t>https://github.com/EaminC/AgentBug-Smith/blob/main/data/issues_50/issue_1336.json</t>
  </si>
  <si>
    <t>https://github.com/EaminC/AgentBug-Smith/blob/main/data/issues_50/issue_1351.json</t>
  </si>
  <si>
    <t>https://github.com/EaminC/AgentBug-Smith/blob/main/data/issues_50/issue_1381.json</t>
  </si>
  <si>
    <t>https://github.com/EaminC/AgentBug-Smith/blob/main/data/issues_50/issue_1391.json</t>
  </si>
  <si>
    <t>https://github.com/EaminC/AgentBug-Smith/blob/main/data/issues_50/issue_1476.json</t>
  </si>
  <si>
    <t>https://github.com/EaminC/AgentBug-Smith/blob/main/data/issues_50/issue_1490.json</t>
  </si>
  <si>
    <t>https://github.com/EaminC/AgentBug-Smith/blob/main/data/issues_50/issue_1503.json</t>
  </si>
  <si>
    <t>https://github.com/EaminC/AgentBug-Smith/blob/main/data/issues_50/issue_159.json</t>
  </si>
  <si>
    <t>https://github.com/EaminC/AgentBug-Smith/blob/main/data/issues_50/issue_1703.json</t>
  </si>
  <si>
    <t>https://github.com/EaminC/AgentBug-Smith/blob/main/data/issues_50/issue_1869.json</t>
  </si>
  <si>
    <t>https://github.com/EaminC/AgentBug-Smith/blob/main/data/issues_50/issue_194.json</t>
  </si>
  <si>
    <t>https://github.com/EaminC/AgentBug-Smith/blob/main/data/issues_50/issue_2067.json</t>
  </si>
  <si>
    <t>https://github.com/EaminC/AgentBug-Smith/blob/main/data/issues_50/issue_2175.json</t>
  </si>
  <si>
    <t>https://github.com/EaminC/AgentBug-Smith/blob/main/data/issues_50/issue_2191.json</t>
  </si>
  <si>
    <t>https://github.com/EaminC/AgentBug-Smith/blob/main/data/issues_50/issue_2260.json</t>
  </si>
  <si>
    <t>https://github.com/EaminC/AgentBug-Smith/blob/main/data/issues_50/issue_2330.json</t>
  </si>
  <si>
    <t>https://github.com/EaminC/AgentBug-Smith/blob/main/data/issues_50/issue_240.json</t>
  </si>
  <si>
    <t>https://github.com/EaminC/AgentBug-Smith/blob/main/data/issues_50/issue_2402.json</t>
  </si>
  <si>
    <t>https://github.com/EaminC/AgentBug-Smith/blob/main/data/issues_50/issue_2421.json</t>
  </si>
  <si>
    <t>Rust</t>
  </si>
  <si>
    <t>https://github.com/EaminC/AgentBug-Smith/blob/main/data/issues_50/issue_2434.json</t>
  </si>
  <si>
    <t>https://github.com/EaminC/AgentBug-Smith/blob/main/data/issues_50/issue_2543.json</t>
  </si>
  <si>
    <t>https://github.com/EaminC/AgentBug-Smith/blob/main/data/issues_50/issue_2551.json</t>
  </si>
  <si>
    <t>https://github.com/EaminC/AgentBug-Smith/blob/main/data/issues_50/issue_2561.json</t>
  </si>
  <si>
    <t>https://github.com/EaminC/AgentBug-Smith/blob/main/data/issues_50/issue_2587.json</t>
  </si>
  <si>
    <t>https://github.com/EaminC/AgentBug-Smith/blob/main/data/issues_50/issue_2593.json</t>
  </si>
  <si>
    <t>https://github.com/EaminC/AgentBug-Smith/blob/main/data/issues_50/issue_2776.json</t>
  </si>
  <si>
    <t>https://github.com/EaminC/AgentBug-Smith/blob/main/data/issues_50/issue_2789.json</t>
  </si>
  <si>
    <t>https://github.com/EaminC/AgentBug-Smith/blob/main/data/issues_50/issue_2871.json</t>
  </si>
  <si>
    <t>Total Label</t>
  </si>
  <si>
    <t>https://github.com/EaminC/AgentBug-Smith/blob/main/data/issues_50/issue_2899.json</t>
  </si>
  <si>
    <t>https://github.com/EaminC/AgentBug-Smith/blob/main/data/issues_50/issue_2968.json</t>
  </si>
  <si>
    <t>Yiming vs Human Golden</t>
  </si>
  <si>
    <t>https://github.com/EaminC/AgentBug-Smith/blob/main/data/issues_50/issue_3079.json</t>
  </si>
  <si>
    <t>Alfin vs Human Golden</t>
  </si>
  <si>
    <t>https://github.com/EaminC/AgentBug-Smith/blob/main/data/issues_50/issue_3112.json</t>
  </si>
  <si>
    <t>Alfin vs Yiming</t>
  </si>
  <si>
    <t>https://github.com/EaminC/AgentBug-Smith/blob/main/data/issues_50/issue_3152.json</t>
  </si>
  <si>
    <t>https://github.com/EaminC/AgentBug-Smith/blob/main/data/issues_50/issue_3391.json</t>
  </si>
  <si>
    <t>https://github.com/EaminC/AgentBug-Smith/blob/main/data/issues_50/issue_3463.json</t>
  </si>
  <si>
    <t>https://github.com/EaminC/AgentBug-Smith/blob/main/data/issues_50/issue_3583.json</t>
  </si>
  <si>
    <t>AGENT APPLICATIONS</t>
  </si>
  <si>
    <t>https://github.com/EaminC/AgentBug-Smith/blob/main/data/issues_50/issue_3828.json</t>
  </si>
  <si>
    <t>https://github.com/EaminC/AgentBug-Smith/blob/main/data/issues_50/issue_3899.json</t>
  </si>
  <si>
    <t>Total F2P In-Patch (on 80)</t>
  </si>
  <si>
    <t>Total F2P No In-Patch (on 80)</t>
  </si>
  <si>
    <t>https://github.com/EaminC/AgentBug-Smith/blob/main/data/issues_50/issue_3954.json</t>
  </si>
  <si>
    <t>https://github.com/EaminC/AgentBug-Smith/blob/main/data/issues_50/issue_4376.json</t>
  </si>
  <si>
    <t>https://github.com/EaminC/AgentBug-Smith/blob/main/data/issues_50/issue_4838.json</t>
  </si>
  <si>
    <t>https://github.com/EaminC/AgentBug-Smith/blob/main/data/issues_50/issue_563.json</t>
  </si>
  <si>
    <t>https://github.com/EaminC/AgentBug-Smith/blob/main/data/issues_50/issue_7155.json</t>
  </si>
  <si>
    <t>https://github.com/EaminC/AgentBug-Smith/blob/main/data/issues_50/issue_8009.json</t>
  </si>
  <si>
    <t>https://github.com/EaminC/AgentBug-Smith/blob/main/data/issues_50/issue_9.json</t>
  </si>
  <si>
    <t>https://github.com/EaminC/AgentBug-Smith/blob/main/data/issues_25/issue_102.json</t>
  </si>
  <si>
    <t>https://github.com/EaminC/AgentBug-Smith/blob/main/data/issues_25/issue_1521.json</t>
  </si>
  <si>
    <t>?</t>
  </si>
  <si>
    <t>https://github.com/EaminC/AgentBug-Smith/blob/main/data/issues_25/issue_164.json</t>
  </si>
  <si>
    <t>https://github.com/EaminC/AgentBug-Smith/blob/main/data/issues_25/issue_1658.json</t>
  </si>
  <si>
    <t>https://github.com/EaminC/AgentBug-Smith/blob/main/data/issues_25/issue_1723.json</t>
  </si>
  <si>
    <t>https://github.com/EaminC/AgentBug-Smith/blob/main/data/issues_25/issue_1790.json</t>
  </si>
  <si>
    <t>https://github.com/EaminC/AgentBug-Smith/blob/main/data/issues_25/issue_181.json</t>
  </si>
  <si>
    <t>https://github.com/EaminC/AgentBug-Smith/blob/main/data/issues_25/issue_182.json</t>
  </si>
  <si>
    <t>https://github.com/EaminC/AgentBug-Smith/blob/main/data/issues_25/issue_196.json</t>
  </si>
  <si>
    <t>https://github.com/EaminC/AgentBug-Smith/blob/main/data/issues_25/issue_2105.json</t>
  </si>
  <si>
    <t>https://github.com/EaminC/AgentBug-Smith/blob/main/data/issues_25/issue_2150.json</t>
  </si>
  <si>
    <t>https://github.com/EaminC/AgentBug-Smith/blob/main/data/issues_25/issue_2307.json</t>
  </si>
  <si>
    <t>https://github.com/EaminC/AgentBug-Smith/blob/main/data/issues_25/issue_258.json</t>
  </si>
  <si>
    <t>https://github.com/EaminC/AgentBug-Smith/blob/main/data/issues_25/issue_2632.json</t>
  </si>
  <si>
    <t>https://github.com/EaminC/AgentBug-Smith/blob/main/data/issues_25/issue_2734.json</t>
  </si>
  <si>
    <t>https://github.com/EaminC/AgentBug-Smith/blob/main/data/issues_25/issue_2910.json</t>
  </si>
  <si>
    <t>https://github.com/EaminC/AgentBug-Smith/blob/main/data/issues_25/issue_2985.json</t>
  </si>
  <si>
    <t>https://github.com/EaminC/AgentBug-Smith/blob/main/data/issues_25/issue_3906.json</t>
  </si>
  <si>
    <t>https://github.com/EaminC/AgentBug-Smith/blob/main/data/issues_25/issue_4647.json</t>
  </si>
  <si>
    <t>https://github.com/EaminC/AgentBug-Smith/blob/main/data/issues_25/issue_4822.json</t>
  </si>
  <si>
    <t>https://github.com/EaminC/AgentBug-Smith/blob/main/data/issues_25/issue_502.json</t>
  </si>
  <si>
    <t>https://github.com/EaminC/AgentBug-Smith/blob/main/data/issues_25/issue_625.json</t>
  </si>
  <si>
    <t>https://github.com/EaminC/AgentBug-Smith/blob/main/data/issues_25/issue_63.json</t>
  </si>
  <si>
    <t>https://github.com/EaminC/AgentBug-Smith/blob/main/data/issues_25/issue_6321.json</t>
  </si>
  <si>
    <t>https://github.com/EaminC/AgentBug-Smith/blob/main/data/issues_25/issue_931.json</t>
  </si>
  <si>
    <t>0</t>
  </si>
  <si>
    <t>SUMMARY</t>
  </si>
  <si>
    <t>Batch</t>
  </si>
  <si>
    <t>Issues with In-Patch</t>
  </si>
  <si>
    <t>Issues without In-Patch</t>
  </si>
  <si>
    <t>F2P with In-Patch</t>
  </si>
  <si>
    <t>F2P without In-Patch</t>
  </si>
  <si>
    <t>SWE-Factory F2P</t>
  </si>
  <si>
    <t>SWE-bench-Live F2P</t>
  </si>
  <si>
    <t>First Batch (80 issues)</t>
  </si>
  <si>
    <t>Second Batch (70 issues)</t>
  </si>
  <si>
    <t>Third Batch (50 issues)</t>
  </si>
  <si>
    <t>Fourth Batch (25 issues)</t>
  </si>
  <si>
    <t>Programming Language Distribution</t>
  </si>
  <si>
    <t>Total Issues (Python)</t>
  </si>
  <si>
    <t>Total F2P (Python)</t>
  </si>
  <si>
    <t>Total Issues (Typescript)</t>
  </si>
  <si>
    <t>Total F2P (Typescript)</t>
  </si>
  <si>
    <t>Total Issues (Rust)</t>
  </si>
  <si>
    <t>Total F2P (Rust)</t>
  </si>
  <si>
    <t>24m 54s</t>
  </si>
  <si>
    <t>? This is done using old api key, how are we going to calc the tokens? Sampling?</t>
  </si>
  <si>
    <t>47m 44s</t>
  </si>
  <si>
    <t>Repo accuracy</t>
  </si>
  <si>
    <t>21m 35s</t>
  </si>
  <si>
    <t>85m 41s</t>
  </si>
  <si>
    <t>Infra</t>
  </si>
  <si>
    <t>Adding openclaw issues (around 10)</t>
  </si>
  <si>
    <t xml:space="preserve">Remove claude code </t>
  </si>
  <si>
    <t>Result in claude code</t>
  </si>
  <si>
    <t>Focus on openscaffold</t>
  </si>
  <si>
    <t>Model: claude-opus, latest gpt</t>
  </si>
  <si>
    <t>deepsek-v3.2</t>
  </si>
  <si>
    <t>claude-sonnet-4-6</t>
  </si>
  <si>
    <t>kimi-k2.5</t>
  </si>
  <si>
    <t>Create a script to count input_tokens + output_tokens</t>
  </si>
  <si>
    <t>Run openclaw on other baseline</t>
  </si>
  <si>
    <t>4th key for baseline</t>
  </si>
  <si>
    <t>CLAUDE-HAIKU-4-5</t>
  </si>
  <si>
    <t>Pipeline/Baseline</t>
  </si>
  <si>
    <t>F2P on Agent Applications</t>
  </si>
  <si>
    <t>F2P on Agent Frameworks</t>
  </si>
  <si>
    <t>F2P In-Patch on Agent Applications</t>
  </si>
  <si>
    <t>F2P In-Patch on Agent Frameworks</t>
  </si>
  <si>
    <t>Total F2P In-Patch</t>
  </si>
  <si>
    <t>Column 15</t>
  </si>
  <si>
    <t>Env Build</t>
  </si>
  <si>
    <t>Total Duration</t>
  </si>
  <si>
    <t>Total Cost</t>
  </si>
  <si>
    <t>Total Token</t>
  </si>
  <si>
    <t>1h 44m 4s</t>
  </si>
  <si>
    <t>1m 18s</t>
  </si>
  <si>
    <t>$0.251635</t>
  </si>
  <si>
    <t>$0.0251635</t>
  </si>
  <si>
    <t>SWE-Bench-LIVE</t>
  </si>
  <si>
    <t>DETAILS F2P</t>
  </si>
  <si>
    <t>In Patch Test?</t>
  </si>
  <si>
    <t>Agent Type</t>
  </si>
  <si>
    <t>AgentBug-Smith (PR #)</t>
  </si>
  <si>
    <t>SWE-Factory (PR #)</t>
  </si>
  <si>
    <t>SWE-Bench-LIVE (PR #)</t>
  </si>
  <si>
    <t>tuzi-gpt</t>
  </si>
  <si>
    <t>Total Cost:</t>
  </si>
  <si>
    <t>$0.578410</t>
  </si>
  <si>
    <t>Forge cost:</t>
  </si>
  <si>
    <t>$2.7968288</t>
  </si>
  <si>
    <t>tuzi-baseline</t>
  </si>
  <si>
    <t>Cost on backend</t>
  </si>
  <si>
    <t>$0.092234</t>
  </si>
  <si>
    <t>Cost on forge</t>
  </si>
  <si>
    <t>$8.18904864</t>
  </si>
  <si>
    <t>TOTAL DATA: 80</t>
  </si>
  <si>
    <t>GPT-4.1-MINI</t>
  </si>
  <si>
    <t>BASELINE</t>
  </si>
  <si>
    <t>Claude-code-forge</t>
  </si>
  <si>
    <t>f2p count: 0
f2p issue_urls:
env count: 3
env issue_urls:
  https://github.com/crewAIInc/crewAI/issues/1439
  https://github.com/langchain-ai/langgraph/issues/6409
  https://github.com/mastra-ai/mastra/issues/6302</t>
  </si>
  <si>
    <t>SWE-BENCH-LIVE</t>
  </si>
  <si>
    <t>Classification summary:
  fail2pass: 1
  fail2fail: 0
  pass2pass: 0
  pass2fail: 0
  error: 0
Summary JSON written to '/home/cc/SWE-bench-Live/baseline/sf_judge_f2p_summary.json'
[Telemetry] Waiting 5 seconds for API metrics to sync...
Ending cost tracker...
Recording session end stats...
Session usage summary (from 2026-04-07T20:47:41.076552+00:00 to 2026-04-08T02:53:50.293681+00:00):
  - Total requests: 10
  - Input tokens: 244,925
  - Output tokens: 677
  - Total tokens: 297,826
  - Cost: $0.114703
==============================================
       SBL PIPELINE FUNNEL REPORT             
==============================================
1. Initial JSON map        : 40 items
2. RepoLaunch Generated    : 1 instances (organize.jsonl)
3. Validated F2P/P2P       : 1 instances
==============================================
Pipeline Duration : 06:06:11 (21971 total seconds)
Master Log File   : /home/cc/SWE-bench-Live/logs/runs/pipeline_20260407_204740.log
SWE-Factory Judge : /home/cc/SWE-bench-Live/baseline/sf_judge_f2p_summary.json
==============================================</t>
  </si>
  <si>
    <t>Total F2P With In-Patch</t>
  </si>
  <si>
    <t>Total F2P Without In-Patch</t>
  </si>
  <si>
    <t>App</t>
  </si>
  <si>
    <t>Frame</t>
  </si>
  <si>
    <t>App v</t>
  </si>
  <si>
    <t>Frame v</t>
  </si>
  <si>
    <t>TOTAL DATA: 70</t>
  </si>
  <si>
    <t>Duration</t>
  </si>
  <si>
    <t>Cost</t>
  </si>
  <si>
    <t>Initial</t>
  </si>
  <si>
    <t>Built Instances</t>
  </si>
  <si>
    <t>F2P</t>
  </si>
  <si>
    <t>5h 44m 12s</t>
  </si>
  <si>
    <t>$0.037512</t>
  </si>
  <si>
    <t>17h 32m 07s</t>
  </si>
  <si>
    <t>$0.265121</t>
  </si>
  <si>
    <t>66 h 7m 24s</t>
  </si>
  <si>
    <t xml:space="preserve">49 m 35s </t>
  </si>
  <si>
    <t>2h 12m 8s</t>
  </si>
  <si>
    <t>4m 24s</t>
  </si>
  <si>
    <t>Agent</t>
  </si>
  <si>
    <t>Issue No.</t>
  </si>
  <si>
    <t>Result</t>
  </si>
  <si>
    <t>17h 26m 24s</t>
  </si>
  <si>
    <t>34m 53s</t>
  </si>
  <si>
    <t>Dockerbuild</t>
  </si>
  <si>
    <t>Test Script</t>
  </si>
  <si>
    <t>E2E</t>
  </si>
  <si>
    <t>Debug By</t>
  </si>
  <si>
    <t>Token cost</t>
  </si>
  <si>
    <t>Buggy version: PASS ✗ (should fail!)
  Fixed version: PASS ✓
  Overall: INVALID ✗</t>
  </si>
  <si>
    <t>githubnext/gh-aw</t>
  </si>
  <si>
    <t>Golang</t>
  </si>
  <si>
    <t>Fixed version test result: FAIL
Output:
Traceback (most recent call last):
  File "/workspace/tests/test1126.py", line 8, in &lt;module&gt;
    from pkg.workflow.claude_engine import ClaudeEngine
ModuleNotFoundError: No module named 'pkg'</t>
  </si>
  <si>
    <t>AttributeError: 'NoneType' object has no attribute 'get'</t>
  </si>
  <si>
    <t>Fixed version test result: FAIL
Output:
Dependency Error: cannot import name 'SearchAgent' from 'agent' (/workspace/agent/__init__.py)</t>
  </si>
  <si>
    <t>Traceback (most recent call last):
  File "/workspace/tests/test71.py", line 127, in &lt;module&gt;
    test_openai_model_message_check()
  File "/workspace/tests/test71.py", line 62, in test_openai_model_message_check
    model.client.chat.completions.create(
    ^^^^^^^^^^^^^^^^^^^^^^^^^^^^^
AttributeError: 'Chat' object has no attribute 'completions'. Did you mean: 'Completions'?</t>
  </si>
  <si>
    <t>[Missing dapr full installation]
Output:
Dependency Error: No module named 'dapr.ext.workflow'</t>
  </si>
  <si>
    <t>$0.022099</t>
  </si>
  <si>
    <t>Traceback (most recent call last):
  File "/workspace/tests/test149.py", line 17, in &lt;module&gt;
    from dapr_agents.utils.signal_handlers import add_signal_handlers_cross_platform
  File "/workspace/dapr_agents/__init__.py", line 1, in &lt;module&gt;
    from dapr_agents.agents.agent import Agent
  File "/workspace/dapr_agents/agents/__init__.py", line 1, in &lt;module&gt;
    from .base import AgentBase
  File "/workspace/dapr_agents/agents/base.py", line 1, in &lt;module&gt;
    from dapr_agents.memory import (
  File "/workspace/dapr_agents/memory/__init__.py", line 3, in &lt;module&gt;
    from .vectorstore import ConversationVectorMemory
  File "/workspace/dapr_agents/memory/vectorstore.py", line 1, in &lt;module&gt;
    from dapr_agents.storage.vectorstores import VectorStoreBase
  File "/workspace/dapr_agents/storage/__init__.py", line 2, in &lt;module&gt;
    from .vectorstores import VectorStoreBase, ChromaVectorStore, PostgresVectorStore
  File "/workspace/dapr_agents/storage/vectorstores/__init__.py", line 1, in &lt;module&gt;
    from .base import VectorStoreBase
  File "/workspace/dapr_agents/storage/vectorstores/base.py", line 2, in &lt;module&gt;
    from dapr_agents.document.embedder.base import EmbedderBase
  File "/workspace/dapr_agents/document/__init__.py", line 4, in &lt;module&gt;
    from .embedder import OpenAIEmbedder, SentenceTransformerEmbedder, NVIDIAEmbedder
  File "/workspace/dapr_agents/document/embedder/__init__.py", line 1, in &lt;module&gt;
    from .openai import OpenAIEmbedder
  File "/workspace/dapr_agents/document/embedder/openai.py", line 2, in &lt;module&gt;
    from dapr_agents.llm.openai.embeddings import OpenAIEmbeddingClient
  File "/workspace/dapr_agents/llm/__init__.py", line 13, in &lt;module&gt;
    from .dapr import DaprChatClient
  File "/workspace/dapr_agents/llm/dapr/__init__.py", line 1, in &lt;module&gt;
    from .chat import DaprChatClient
  File "/workspace/dapr_agents/llm/dapr/chat.py", line 1, in &lt;module&gt;
    from dapr_agents.llm.dapr.client import DaprInferenceClientBase
  File "/workspace/dapr_agents/llm/dapr/client.py", line 3, in &lt;module&gt;
    from dapr.clients import DaprClient
  File "/usr/local/lib/python3.12/site-packages/dapr/clients/__init__.py", line 24, in &lt;module&gt;
    from dapr.clients.grpc.client import DaprGrpcClient, InvokeMethodResponse, MetadataTuple
  File "/usr/local/lib/python3.12/site-packages/dapr/clients/grpc/client.py", line 41, in &lt;module&gt;
    from dapr.clients.grpc import conversation
  File "/usr/local/lib/python3.12/site-packages/dapr/clients/grpc/conversation.py", line 28, in &lt;module&gt;
    from dapr.proto import api_v1
  File "/usr/local/lib/python3.12/site-packages/dapr/proto/__init__.py", line 23, in &lt;module&gt;
    from dapr.proto.common.v1 import common_pb2 as common_v1
  File "/usr/local/lib/python3.12/site-packages/dapr/proto/common/v1/common_pb2.py", line 12, in &lt;module&gt;
    _runtime_version.ValidateProtobufRuntimeVersion(
  File "/usr/local/lib/python3.12/site-packages/google/protobuf/runtime_version.py", line 100, in ValidateProtobufRuntimeVersion
    _ReportVersionError(
  File "/usr/local/lib/python3.12/site-packages/google/protobuf/runtime_version.py", line 50, in _ReportVersionError
    raise VersionError(msg)
google.protobuf.runtime_version.VersionError: Detected incompatible Protobuf Gencode/Runtime versions when loading dapr/proto/common/v1/common.proto: gencode 6.31.1 runtime 5.29.6. Runtime version cannot be older than the linked gencode version. See Protobuf version guarantees at https://protobuf.dev/support/cross-version-runtime-guarantee.</t>
  </si>
  <si>
    <t>Buggy version: FAIL ✓
  Fixed version: PASS ✓
  Overall: VALID ✓
✓ SUCCESS: Test verification passed!
  → Buggy version FAILed (correct)
  → Fixed version PASSed (correct)</t>
  </si>
  <si>
    <t>[HALUCINATION - the module not exist]
Output:
Dependency Error: No module named 'mle.model.openai'</t>
  </si>
  <si>
    <t>[In docker image, the lib folder is at src/crewai/lib. In the original repo, lib is at the root directory]
Output:
Dependency Error: No module named 'lib'</t>
  </si>
  <si>
    <t>Buggy version test result: FAIL
Output:
Bug reproduced: No callback fired in buggy orchestrator.
test209.py PASSED: callback mechanism reproduced and verified fixed.</t>
  </si>
  <si>
    <t>InternLM/lagent</t>
  </si>
  <si>
    <t>Output:
Traceback (most recent call last):
  File "/workspace/tests/test49.py", line 8, in &lt;module&gt;
    from lagent.llms import HFTransformerCasualLM
  File "/venv/lib/python3.12/site-packages/lagent/__init__.py", line 2, in &lt;module&gt;
    from .actions import *  # noqa: F401, F403
    ^^^^^^^^^^^^^^^^^^^^^^
  File "/venv/lib/python3.12/site-packages/lagent/actions/__init__.py", line 1, in &lt;module&gt;
    from .action_executor import ActionExecutor
  File "/venv/lib/python3.12/site-packages/lagent/actions/action_executor.py", line 3, in &lt;module&gt;
    from lagent.schema import ActionReturn, ActionValidCode
  File "/venv/lib/python3.12/site-packages/lagent/schema.py", line 66, in &lt;module&gt;
    from lmdeploy.serve.turbomind.chatbot import StatusCode
ModuleNotFoundError: No module named 'lmdeploy.serve.turbomind'</t>
  </si>
  <si>
    <t>modelscope/agentscope</t>
  </si>
  <si>
    <t>Output:
Traceback (most recent call last):
  File "/workspace/tests/test411.py", line 51, in test_buggy_execute_shell_command
    result = mock_run("rm -rf /tmp/somepath", shell=True)
             ^^^^^^^^^^^^^^^^^^^^^^^^^^^^^^^^^^^^^^^^^^^^
  File "/workspace/tests/test411.py", line 28, in mock_run
    raise subprocess.CalledProcessError(returncode=1, cmd=command, output="Command blocked")
subprocess.CalledProcessError: Command 'rm -rf /tmp/somepath' returned non-zero exit status 1.
During handling of the above exception, another exception occurred:
Traceback (most recent call last):
  File "/workspace/tests/test411.py", line 79, in &lt;module&gt;
    test_buggy_execute_shell_command()
  File "/workspace/tests/test411.py", line 55, in test_buggy_execute_shell_command
    assert False, "Buggy version should NOT block rm -rf"
           ^^^^^
AssertionError: Buggy version should NOT block rm -rf</t>
  </si>
  <si>
    <t>AttributeError: 'ManualMockProject' object has no attribute 'requirement'</t>
  </si>
  <si>
    <t>upsonic/upsonic</t>
  </si>
  <si>
    <t xml:space="preserve">Output:
Failed to import target llm module: cannot import name 'agents' from 'gpt_computer_assistant.utils.db' (unknown location)
</t>
  </si>
  <si>
    <t>RedDotRocket/AgentUp</t>
  </si>
  <si>
    <t>File "/workspace/tests/test83.py", line 4, in &lt;module&gt;
    from dapr_agents.tool.mcp.client import MCPClient, ToolError
ModuleNotFoundError: No module named 'dapr_agents'</t>
  </si>
  <si>
    <t>Dependency Error: No module named 'packages.anthropic_ai'</t>
  </si>
  <si>
    <t>iflytek/astron-agent</t>
  </si>
  <si>
    <t>Java</t>
  </si>
  <si>
    <t>Output:
Traceback (most recent call last):
  File "/workspace/tests/test149.py", line 7, in &lt;module&gt;
    from dapr_agents.utils import add_signal_handlers_cross_platform
  File "/app/dapr_agents/__init__.py", line 1, in &lt;module&gt;
    from dapr_agents.agents.agent import Agent
  File "/app/dapr_agents/agents/__init__.py", line 1, in &lt;module&gt;
    from .base import AgentBase
  File "/app/dapr_agents/agents/base.py", line 1, in &lt;module&gt;
    from dapr_agents.memory import (
  File "/app/dapr_agents/memory/__init__.py", line 1, in &lt;module&gt;
    from .base import MemoryBase
  File "/app/dapr_agents/memory/base.py", line 1, in &lt;module&gt;
    from dapr_agents.types import BaseMessage
  File "/app/dapr_agents/types/__init__.py", line 1, in &lt;module&gt;
    from .tools import OAIFunctionDefinition, OAIToolDefinition, ClaudeToolDefinition
  File "/app/dapr_agents/types/tools.py", line 1, in &lt;module&gt;
    from pydantic import BaseModel, field_validator, ValidationInfo
ModuleNotFoundError: No module named 'pydantic'</t>
  </si>
  <si>
    <t>Output:
Traceback (most recent call last):
  File "/workspace/tests/test434.py", line 42, in &lt;module&gt;
    test_open_api_schema_port(BUGGY_OPEN_API_SCHEMA)
  File "/workspace/tests/test434.py", line 26, in test_open_api_schema_port
    parsed = json.loads(open_api_schema_json)
             ^^^^^^^^^^^^^^^^^^^^^^^^^^^^^^^^
  File "/usr/local/lib/python3.12/json/__init__.py", line 346, in loads
    return _default_decoder.decode(s)
           ^^^^^^^^^^^^^^^^^^^^^^^^^^
  File "/usr/local/lib/python3.12/json/decoder.py", line 338, in decode
    obj, end = self.raw_decode(s, idx=_w(s, 0).end())
               ^^^^^^^^^^^^^^^^^^^^^^^^^^^^^^^^^^^^^^
  File "/usr/local/lib/python3.12/json/decoder.py", line 354, in raw_decode
    obj, end = self.scan_once(s, idx)
               ^^^^^^^^^^^^^^^^^^^^^^
json.decoder.JSONDecodeError: Invalid control character at: line 2 column 169 (char 169)</t>
  </si>
  <si>
    <t>"Buggy version test: ✓ Failed as expected
Fixed version test: ✓ Passed as expected
✓ Test verification successful!"</t>
  </si>
  <si>
    <t>Output:
Traceback (most recent call last):
  File "/workspace/tests/test793.py", line 4, in &lt;module&gt;
    from crewai.src.crewai.crew import Crew
ModuleNotFoundError: No module named 'crewai'</t>
  </si>
  <si>
    <t>Output:
Traceback (most recent call last):
  File "/workspace/tests/test799.py", line 19, in &lt;module&gt;
    from crewai.agent import Agent
ModuleNotFoundError: No module named 'crewai'</t>
  </si>
  <si>
    <t>Buggy version test: ✓ Failed as expected
Fixed version test: ✓ Passed as expected
✓ Test verification successful!</t>
  </si>
  <si>
    <t>/usr/local/lib/python3.12/site-packages/requests/__init__.py:113: RequestsDependencyWarning: urllib3 (2.6.3) or chardet (6.0.0.post1)/charset_normalizer (3.4.4) doesn't match a supported version!
  warnings.warn(
/usr/local/lib/python3.12/site-packages/agentscope/models/gemini_model.py:15: FutureWarning: 
All support for the `google.generativeai` package has ended. It will no longer be receiving 
updates or bug fixes. Please switch to the `google.genai` package as soon as possible.
See README for more details:
https://github.com/google-gemini/deprecated-generative-ai-python/blob/main/data/README.md
  import google.generativeai as genai
Traceback (most recent call last):
  File "/workspace/tests/test411.py", line 23, in &lt;module&gt;
    from agentscope.service.execute_code.exec_shell import execute_shell_command
  File "/usr/local/lib/python3.12/site-packages/agentscope/__init__.py", line 5, in &lt;module&gt;
    from . import manager
  File "/usr/local/lib/python3.12/site-packages/agentscope/manager/__init__.py", line 7, in &lt;module&gt;
    from ._manager import ASManager
  File "/usr/local/lib/python3.12/site-packages/agentscope/manager/_manager.py", line 11, in &lt;module&gt;
    from ..logging import LOG_LEVEL, setup_logger
  File "/usr/local/lib/python3.12/site-packages/agentscope/logging.py", line 12, in &lt;module&gt;
    from .studio._client import _studio_client
  File "/usr/local/lib/python3.12/site-packages/agentscope/studio/__init__.py", line 3, in &lt;module&gt;
    from ._app import init
  File "/usr/local/lib/python3.12/site-packages/agentscope/studio/_app.py", line 49, in &lt;module&gt;
    os.makedirs(str(_cache_dir), exist_ok=True)
  File "&lt;frozen os&gt;", line 215, in makedirs
  File "&lt;frozen os&gt;", line 225, in makedirs
PermissionError: [Errno 13] Permission denied: '/.cache'</t>
  </si>
  <si>
    <t>Dependency Error: No module named 'knowledge'</t>
  </si>
  <si>
    <t>Dependency Error: No module named 'workflow'</t>
  </si>
  <si>
    <t>[Hallucination? - there is no _long_term_memory in the repo]
Fixed version test result: FAIL
Output:
Dependency Error: No module named 'src.agentscope.memory._long_term_memory'</t>
  </si>
  <si>
    <t>Output:
Traceback (most recent call last):
  File "/workspace/tests/test87.py", line 15, in &lt;module&gt;
    from packages.core.src import Agent
ModuleNotFoundError: No module named 'packages'
During handling of the above exception, another exception occurred:
Traceback (most recent call last):
  File "/workspace/tests/test87.py", line 22, in &lt;module&gt;
    from agent.agent import Agent
ModuleNotFoundError: No module named 'agent.agent'</t>
  </si>
  <si>
    <t>Test output:
--------------------------------------------------------------------------------
  Verifying image platform...
  Image architecture: amd64
  Cleaned up temporary Dockerfile
  Trying method 1: python3 /workspace/tests/test91.py
Fixed version test result: FAIL
Output:
2026-03-12 09:32:24.305 | INFO     | agentscope.models:read_model_configs:171 - Load configs for model wrapper: dummy_chat, dummy_image
2026-03-12 09:32:24.308 | INFO     | agentscope.utils.monitor:_create_monitor_table:341 - Init [monitor_metrics] as the monitor table
2026-03-12 09:32:24.308 | INFO     | agentscope.utils.monitor:_create_monitor_table:342 - Init [monitor_metrics_quota_exceeded] as the monitor trigger
2026-03-12 09:32:24.308 | INFO     | agentscope.utils.monitor:__init__:311 - SqliteMonitor initialization completed at [./runs/run_20260312-093223_w7ntj7/agentscope.db]
2026-03-12 09:32:24.309 | INFO     | agentscope.models.model:__init__:256 - Initialize model [dummy_chat]
2026-03-12 09:32:24.309 | INFO     | agentscope.utils.monitor:register:362 - Register metric [dummy_chat_model.call_counter] to SqliteMonitor with unit [times] and quota [None]
2026-03-12 09:32:24.311 | INFO     | agentscope.utils.monitor:register:362 - Register metric [dummy_chat_model.prompt_tokens] to SqliteMonitor with unit [token] and quota [None]
2026-03-12 09:32:24.312 | INFO     | agentscope.utils.monitor:register:362 - Register metric [dummy_chat_model.completion_tokens] to SqliteMonitor with unit [token] and quota [None]
2026-03-12 09:32:24.313 | INFO     | agentscope.utils.monitor:register:362 - Register metric [dummy_chat_model.total_tokens] to SqliteMonitor with unit [token] and quota [None]
/usr/local/lib/python3.12/site-packages/requests/__init__.py:113: RequestsDependencyWarning: urllib3 (2.6.3) or chardet (7.1.0)/charset_normalizer (3.4.5) doesn't match a supported version!
  warnings.warn(
/workspace/src/agentscope/models/gemini_model.py:13: FutureWarning: 
All support for the `google.generativeai` package has ended. It will no longer be receiving 
updates or bug fixes. Please switch to the `google.genai` package as soon as possible.
See README for more details:
https://github.com/google-gemini/deprecated-generative-ai-python/blob/main/data/README.md
  import google.generativeai as genai
Traceback (most recent call last):
  File "/workspace/tests/test91.py", line 95, in &lt;module&gt;
    test_dialog_and_text_to_image_agent()
  File "/workspace/tests/test91.py", line 57, in test_dialog_and_text_to_image_agent
    agent_image = TextToImageAgent(
                  ^^^^^^^^^^^^^^^^^
  File "/workspace/src/agentscope/agents/agent.py", line 21, in __call__
    instance = super().__call__(*args, **kwargs)
               ^^^^^^^^^^^^^^^^^^^^^^^^^^^^^^^^^
TypeError: TextToImageAgent.__init__() got an unexpected keyword argument 'sys_prompt'
HEAD is now at 17676eaa Add AS studio usage into web README.md (#81)</t>
  </si>
  <si>
    <t>Output:
Test failed: Old port should be 18669 but got 18668</t>
  </si>
  <si>
    <t>Output:
Could not test OllamaChatWrapper.format directly: OllamaChatWrapper.__init__() missing 2 required positional arguments: 'config_name' and 'model_name'</t>
  </si>
  <si>
    <t>Fixed version test result: FAIL
Output:
2026-03-12 13:20:06.514 | WARNING  | agentscope.rpc.rpc_meta:__init__:71 - Class with name [AgentBase] already exists.
2026-03-12 13:20:06.515 | WARNING  | agentscope.rpc.rpc_meta:__init__:71 - Class with name [DialogAgent] already exists.
2026-03-12 13:20:06.516 | WARNING  | agentscope.rpc.rpc_meta:__init__:71 - Class with name [DictDialogAgent] already exists.
2026-03-12 13:20:06.516 | WARNING  | agentscope.rpc.rpc_meta:__init__:71 - Class with name [UserAgent] already exists.
2026-03-12 13:20:06.517 | WARNING  | agentscope.rpc.rpc_meta:__init__:71 - Class with name [ReActAgent] already exists.
2026-03-12 13:20:06.517 | WARNING  | agentscope.rpc.rpc_meta:__init__:71 - Class with name [LlamaIndexAgent] already exists.
2026-03-12 13:20:06.526 | WARNING  | agentscope.rpc.rpc_meta:__init__:71 - Class with name [_SystemPromptTestAgent] already exists.
Traceback (most recent call last):
  File "/workspace/tests/test513.py", line 15, in &lt;module&gt;
    from src.agentscope.web.workstation.workflow_dag import format_python_code
  File "/workspace/src/agentscope/__init__.py", line 22, in &lt;module&gt;
    from ._init import init
  File "/workspace/src/agentscope/_init.py", line 20, in &lt;module&gt;
    ASManager()
  File "/workspace/src/agentscope/manager/_manager.py", line 64, in __init__
    self.model = ModelManager()
                 ^^^^^^^^^^^^^^
  File "/workspace/src/agentscope/manager/_model.py", line 57, in __init__
    self.register_model_wrapper_class(cls, exist_ok=False)
  File "/workspace/src/agentscope/manager/_model.py", line 208, in register_model_wrapper_class
    raise TypeError(
TypeError: The model wrapper class should inherit from ModelWrapperBase, but got &lt;class 'agentscope.models.post_model.PostAPIChatWrapper'&gt;.</t>
  </si>
  <si>
    <t>Output:
Traceback (most recent call last):
  File "/workspace/tests/test1129.py", line 125, in &lt;module&gt;
    result_bug = asyncio.run(run_mem0_long_term_memory_with_bug())
                 ^^^^^^^^^^^^^^^^^^^^^^^^^^^^^^^^^^^^^^^^^^^^^^^^^
  File "/usr/local/lib/python3.12/asyncio/runners.py", line 195, in run
    return runner.run(main)
           ^^^^^^^^^^^^^^^^
  File "/usr/local/lib/python3.12/asyncio/runners.py", line 118, in run
    return self._loop.run_until_complete(task)
           ^^^^^^^^^^^^^^^^^^^^^^^^^^^^^^^^^^^
  File "/usr/local/lib/python3.12/asyncio/base_events.py", line 691, in run_until_complete
    return future.result()
           ^^^^^^^^^^^^^^^
  File "/workspace/tests/test1129.py", line 59, in run_mem0_long_term_memory_with_bug
    long_term_memory = Mem0LongTermMemory(
                       ^^^^^^^^^^^^^^^^^^^
  File "/workspace/src/agentscope/memory/_long_term_memory/_mem0/_mem0_long_term_memory.py", line 255, in __init__
    self.long_term_working_memory = mem0.AsyncMemory(mem0_config)
                                    ^^^^^^^^^^^^^^^^^^^^^^^^^^^^^
  File "/usr/local/lib/python3.12/site-packages/mem0/memory/main.py", line 1245, in __init__
    self.embedding_model = EmbedderFactory.create(
                           ^^^^^^^^^^^^^^^^^^^^^^^
  File "/usr/local/lib/python3.12/site-packages/mem0/utils/factory.py", line 159, in create
    return embedder_instance(base_config)
           ^^^^^^^^^^^^^^^^^^^^^^^^^^^^^^
  File "/workspace/src/agentscope/memory/_long_term_memory/_mem0/_mem0_utils.py", line 258, in __init__
    raise ValueError(
ValueError: `model` must be an instance of EmbeddingModelBase</t>
  </si>
  <si>
    <t>ERROR: Test case file was not generated successfully! The test script was stored in core/agent/tests</t>
  </si>
  <si>
    <t>[Invalid syntax]
File "/workspace/tests/test768.py", line 187
    assert version := usage.get("prompt_tokens", None) is not None, "Prompt token count should be present"
                   ^^
SyntaxError: invalid syntax</t>
  </si>
  <si>
    <t>Output:
Dependency Error: No module named 'pkg_resources'</t>
  </si>
  <si>
    <t>Fixed version test result: FAIL
Output:
Traceback (most recent call last):
  File "/workspace/tests/test923.py", line 2, in &lt;module&gt;
    from agentscope.memory._long_term_memory._mem0._mem0_utils import AgentScopeLLM
ModuleNotFoundError: No module named 'agentscope.memory._long_term_memory'</t>
  </si>
  <si>
    <t>Fixed version test result: FAIL
Output:
/usr/local/lib/python3.11/site-packages/requests/__init__.py:113: RequestsDependencyWarning: urllib3 (2.6.3) or chardet (6.0.0.post1)/charset_normalizer (3.4.4) doesn't match a supported version!
  warnings.warn(
/usr/local/lib/python3.11/site-packages/agentscope/models/gemini_model.py:13: FutureWarning: 
All support for the `google.generativeai` package has ended. It will no longer be receiving 
updates or bug fixes. Please switch to the `google.genai` package as soon as possible.
See README for more details:
https://github.com/google-gemini/deprecated-generative-ai-python/blob/main/data/README.md
  import google.generativeai as genai
Traceback (most recent call last):
  File "/workspace/tests/test91.py", line 2, in &lt;module&gt;
    from agentscope.agents import TextToImageAgent
  File "/usr/local/lib/python3.11/site-packages/agentscope/__init__.py", line 5, in &lt;module&gt;
    from . import agents
  File "/usr/local/lib/python3.11/site-packages/agentscope/agents/__init__.py", line 7, in &lt;module&gt;
    from .user_agent import UserAgent
  File "/usr/local/lib/python3.11/site-packages/agentscope/agents/user_agent.py", line 9, in &lt;module&gt;
    from agentscope.web.studio.utils import user_input
ImportError: cannot import name 'user_input' from 'agentscope.web.studio.utils' (/usr/local/lib/python3.11/site-packages/agentscope/web/studio/utils.py)</t>
  </si>
  <si>
    <t>Output:
Dependency Error: No module named 'strands'
Traceback (most recent call last):
  File "/workspace/tests/test974.py", line 7, in &lt;module&gt;
    from strands.models.litellm import LiteLLMModel
ModuleNotFoundError: No module named 'strands'</t>
  </si>
  <si>
    <t>Traceback (most recent call last):
  File "/workspace/tests/test441.py", line 76, in &lt;module&gt;
    asyncio.run(run_buggy_format())
  File "/usr/local/lib/python3.12/asyncio/runners.py", line 195, in run
    return runner.run(main)
           ^^^^^^^^^^^^^^^^
  File "/usr/local/lib/python3.12/asyncio/runners.py", line 118, in run
    return self._loop.run_until_complete(task)
           ^^^^^^^^^^^^^^^^^^^^^^^^^^^^^^^^^^^
  File "/usr/local/lib/python3.12/asyncio/base_events.py", line 691, in run_until_complete
    return future.result()
           ^^^^^^^^^^^^^^^
  File "/workspace/tests/test441.py", line 22, in run_buggy_format
    wrapper = OllamaChatWrapper(model_name="llama3.1")
              ^^^^^^^^^^^^^^^^^^^^^^^^^^^^^^^^^^^^^^^^
TypeError: OllamaChatWrapper.__init__() missing 1 required positional argument: 'config_name'</t>
  </si>
  <si>
    <t>70h 16m 51s</t>
  </si>
  <si>
    <t>Traceback (most recent call last):
  File "/workspace/tests/test1037.py", line 88, in &lt;module&gt;
    asyncio.run(test_react_agent_static_control())
  File "/usr/local/lib/python3.12/asyncio/runners.py", line 195, in run
    return runner.run(main)
           ^^^^^^^^^^^^^^^^
  File "/usr/local/lib/python3.12/asyncio/runners.py", line 118, in run
    return self._loop.run_until_complete(task)
           ^^^^^^^^^^^^^^^^^^^^^^^^^^^^^^^^^^^
  File "/usr/local/lib/python3.12/asyncio/base_events.py", line 691, in run_until_complete
    return future.result()
           ^^^^^^^^^^^^^^^
  File "/workspace/tests/test1037.py", line 43, in test_react_agent_static_control
    agent = ReActAgent(
            ^^^^^^^^^^^
TypeError: ReActAgent.__init__() got an unexpected keyword argument 'static_control'</t>
  </si>
  <si>
    <t>Test output:
--------------------------------------------------------------------------------
    assert code != 0, "Buggy script did not fail with SyntaxError"
           ^^^^^^^^^
AssertionError: Buggy script did not fail with SyntaxError</t>
  </si>
  <si>
    <t>62m</t>
  </si>
  <si>
    <t xml:space="preserve">[Syntax Error]
Output:
  File "/workspace/tests/test1511.py", line 88
    assert "FieldInfo(annotation=str" in out_buggy, "Buggy output missing verbose field info")
                                                                                             ^
SyntaxError: unmatched ')'
</t>
  </si>
  <si>
    <t>Dependency Error: No module named 'src'
Traceback (most recent call last):
  File "/workspace/tests/test1886.py", line 5, in &lt;module&gt;
    from src.pipelines.generation.sql_correction import SQLCorrection
ModuleNotFoundError: No module named 'src'
During handling of the above exception, another exception occurred:
Traceback (most recent call last):
  File "/workspace/tests/test1886.py", line 15, in &lt;module&gt;
    from src.pipelines.generation.sql_correction import SQLCorrection
ModuleNotFoundError: No module named 'src'</t>
  </si>
  <si>
    <t>--------------------
  22 |     # Copy pyproject.toml if it exists and install dependencies via pip
  23 | &gt;&gt;&gt; RUN if [ -f "pyproject.toml" ]; then \
  24 | &gt;&gt;&gt;     pip install --upgrade pip &amp;&amp; pip install poetry &amp;&amp; poetry config virtualenvs.create false &amp;&amp; poetry install --no-root; \
  25 | &gt;&gt;&gt;     fi
  26 |     
--------------------
ERROR: failed to solve: process "/bin/sh -c if [ -f \"pyproject.toml\" ]; then     pip install --upgrade pip &amp;&amp; pip install poetry &amp;&amp; poetry config virtualenvs.create false &amp;&amp; poetry install --no-root;     fi" did not complete successfully: exit code: 1
HEAD is now at f6db165 chore(version): bump version from 1.0.16dev to 1.0.16 (#1241)
Your branch is behind 'origin/main' by 1 commit, and can be fast-forwarded.
  (use "git pull" to update your local branch)</t>
  </si>
  <si>
    <t>Output:
Dependency Error: No module named 'auto_gpt_plugin_template'</t>
  </si>
  <si>
    <t>Traceback (most recent call last):
  File "/workspace/tests/test768.py", line 5, in &lt;module&gt;
    from agentscope.agent import ReActAgent, UserAgent
ModuleNotFoundError: No module named 'agentscope'</t>
  </si>
  <si>
    <t>Output:
Dependency Error: No module named 'classic'</t>
  </si>
  <si>
    <t>Output:
Traceback (most recent call last):
  File "/workspace/tests/test1437.py", line 4, in &lt;module&gt;
    from crewai.experimental.agent_executor import AgentExecutor
ModuleNotFoundError: No module named 'crewai'</t>
  </si>
  <si>
    <t>Output:
Dependency Error: No module named 'classic'
/workspace/tests/test2390.py:50: SyntaxWarning: invalid escape sequence '\d'
  windows_style_command = 'mkdir wine-quality\data'
Traceback (most recent call last):
  File "/workspace/tests/test2390.py", line 8, in &lt;module&gt;
    from classic.forge.forge.components.code_executor.code_executor import CodeExecutorComponent
ModuleNotFoundError: No module named 'classic'
During handling of the above exception, another exception occurred:
Traceback (most recent call last):
  File "/workspace/tests/test2390.py", line 14, in &lt;module&gt;
    from classic.forge.forge.components.code_executor.code_executor import CodeExecutorComponent
ModuleNotFoundError: No module named 'classic'</t>
  </si>
  <si>
    <t>--------------------
  31 |     
  32 |     # Install crewai package in editable mode to ensure imports work
  33 | &gt;&gt;&gt; RUN pip install --break-system-packages -e .
  34 |     
  35 |     # Default command to start a bash shell at /app root
--------------------
ERROR: failed to solve: process "/bin/sh -c pip install --break-system-packages -e ." did not complete successfully: exit code: 1
HEAD is now at 51754899 feat: migrate CLI http client from requests to httpx
Your branch is behind 'origin/main' by 26 commits, and can be fast-forwarded.</t>
  </si>
  <si>
    <t>Output:
Dependency Error: cannot import name 'get_ada_embedding' from 'autogpt' (/workspace/autogpt/__init__.py)</t>
  </si>
  <si>
    <t>Output:
Dependency Error: No module named 'memory'</t>
  </si>
  <si>
    <t>--------------------
  18 |     # Install Python dependencies using pip (this will install dependencies from pyproject.toml)
  19 |     RUN pip install --upgrade pip setuptools wheel
  20 | &gt;&gt;&gt; RUN pip install . 
  21 |     
  22 |     # Set environment variables for Forge API integration
--------------------
ERROR: failed to solve: process "/bin/sh -c pip install ." did not complete successfully: exit code: 1
HEAD is now at 51754899 feat: migrate CLI http client from requests to httpx
Your branch is behind 'origin/main' by 26 commits, and can be fast-forwarded.</t>
  </si>
  <si>
    <t>TS</t>
  </si>
  <si>
    <t>Output:
Dependency Error: No module named 'packages.core.src.workflows.default'</t>
  </si>
  <si>
    <t>--------------------
  21 |     # Install Python dependencies via poetry (lock file does NOT exist, use poetry install without lock file)
  22 | &gt;&gt;&gt; RUN if [ -f "/app/pyproject.toml" ]; then \
  23 | &gt;&gt;&gt;     poetry config virtualenvs.create false &amp;&amp; poetry install --no-interaction --no-ansi; \
  24 | &gt;&gt;&gt;     else echo "No pyproject.toml found, skipping poetry install"; \
  25 | &gt;&gt;&gt;     fi
  26 |     
--------------------
ERROR: failed to solve: process "/bin/sh -c if [ -f \"/app/pyproject.toml\" ]; then     poetry config virtualenvs.create false &amp;&amp; poetry install --no-interaction --no-ansi;     else echo \"No pyproject.toml found, skipping poetry install\";     fi" did not complete successfully: exit code: 1
HEAD is now at f6db165 chore(version): bump version from 1.0.16dev to 1.0.16 (#1241)
Your branch is behind 'origin/main' by 1 commit, and can be fast-forwarded.</t>
  </si>
  <si>
    <t>Output:
Dependency Error: No module named 'client_sdks'
Dependency Error: No module named 'client_sdks'</t>
  </si>
  <si>
    <t>--------------------
  17 |     
  18 |     # Install dependencies
  19 | &gt;&gt;&gt; RUN npm install --legacy-peer-deps
  20 |     
  21 |     # Copy rest of the source code
--------------------
ERROR: failed to solve: process "/bin/sh -c npm install --legacy-peer-deps" did not complete successfully: exit code: 1
HEAD is now at ca69847090 chore: regenerate providers and docs [skip ci]
Your branch is up to date with 'origin/main'.</t>
  </si>
  <si>
    <t>3h 12m 57s</t>
  </si>
  <si>
    <t>--------------------
  13 |     # Copy pyproject.toml and pyproject.lock (if exists) to ensure dependencies are installed correctly
  14 |     COPY pyproject.toml ./
  15 | &gt;&gt;&gt; COPY poetry.lock ./
  16 |     
  17 |     # Install pip, poetry and dependencies using poetry to resolve agentscope and other dependencies
--------------------
ERROR: failed to solve: failed to compute cache key: failed to calculate checksum of ref 669ad24f-afa7-4f1e-b2f8-ca62b5f5d585::uvd4i89x6lnesvhy0xscmr7gh: "/poetry.lock": not found</t>
  </si>
  <si>
    <t>Test output:
--------------------------------------------------------------------------------
Output:
  File "/workspace/tests/test6302.py", line 103
    'doGenerate': async def():
                  ^^^^^
SyntaxError: invalid syntax</t>
  </si>
  <si>
    <t>4m 57s</t>
  </si>
  <si>
    <t>--------------------
  33 |     # Install node dependencies using pnpm
  34 | &gt;&gt;&gt; RUN pnpm store prune || true &amp;&amp; \
  35 | &gt;&gt;&gt;     pnpm install --reporter=append-only || pnpm install --reporter=append-only --verbose
  36 |     
--------------------
ERROR: failed to solve: process "/bin/sh -c pnpm store prune || true &amp;&amp;     pnpm install --reporter=append-only || pnpm install --reporter=append-only --verbose" did not complete successfully: exit code: 1
HEAD is now at ca69847090 chore: regenerate providers and docs [skip ci]
Your branch is up to date with 'origin/main'.</t>
  </si>
  <si>
    <t>✗ Test generation failed (exit code: 1)
Failed to generate test</t>
  </si>
  <si>
    <t>Output:
Traceback (most recent call last):
  File "/workspace/tests/test1886.py", line 6, in &lt;module&gt;
    from src.pipelines.generation.sql_correction import SQLCorrection
ModuleNotFoundError: No module named 'src'</t>
  </si>
  <si>
    <t>=== SUMMARY ===</t>
  </si>
  <si>
    <t>--------------------
  29 |     # Install python dependencies if requirements.txt exists
  30 | &gt;&gt;&gt; RUN if [ -f "requirements.txt" ]; then \
  31 | &gt;&gt;&gt;     pip install --no-cache-dir -r requirements.txt; \
  32 | &gt;&gt;&gt;     fi
  33 |     
--------------------
ERROR: failed to solve: process "/bin/sh -c if [ -f \"requirements.txt\" ]; then     pip install --no-cache-dir -r requirements.txt;     fi" did not complete successfully: exit code: 1
HEAD is now at 062fe1aa7 fix(security): enforce disabled flag on blocks in graph validation (#12059)
Your branch is up to date with 'origin/master'.</t>
  </si>
  <si>
    <t>--------------------
  21 |     # Install any dependencies if requirements.txt or setup.py exist
  22 | &gt;&gt;&gt; RUN if [ -f "requirements.txt" ]; then \
  23 | &gt;&gt;&gt;       pip install --no-cache-dir -r requirements.txt; \
  24 | &gt;&gt;&gt;     elif [ -f "setup.py" ]; then \
  25 | &gt;&gt;&gt;       pip install --no-cache-dir .; \
  26 | &gt;&gt;&gt;     fi
  27 |     
--------------------
ERROR: failed to solve: process "/bin/sh -c if [ -f \"requirements.txt\" ]; then       pip install --no-cache-dir -r requirements.txt;     elif [ -f \"setup.py\" ]; then       pip install --no-cache-dir .;     fi" did not complete successfully: exit code: 1
HEAD is now at 062fe1aa7 fix(security): enforce disabled flag on blocks in graph validation (#12059)
Your branch is up to date with 'origin/master'.</t>
  </si>
  <si>
    <t>Repositories</t>
  </si>
  <si>
    <t>--------------------
  22 |     
  23 |     # Copy files conditionally and install python dependencies if requirements.txt exists
  24 | &gt;&gt;&gt; RUN if [ -f "requirements.txt" ]; then pip install --no-cache-dir -r requirements.txt; fi
  25 |     
  26 |     # Set PATH and ensure python is accessible as python
--------------------
ERROR: failed to solve: process "/bin/sh -c if [ -f \"requirements.txt\" ]; then pip install --no-cache-dir -r requirements.txt; fi" did not complete successfully: exit code: 1
HEAD is now at 062fe1aa7 fix(security): enforce disabled flag on blocks in graph validation (#12059)
Your branch is up to date with 'origin/master'.</t>
  </si>
  <si>
    <t>--------------------
  16 |     # Install system dependencies for python
  17 | &gt;&gt;&gt; RUN apt-get update &amp;&amp; \
  18 | &gt;&gt;&gt;     apt-get install -y --no-install-recommends \
  19 | &gt;&gt;&gt;     build-essential \
  20 | &gt;&gt;&gt;     gcc \
  21 | &gt;&gt;&gt;     libffi-dev \
  22 | &gt;&gt;&gt;     libssl-dev \
  23 | &gt;&gt;&gt;     python3-dev \
  24 | &gt;&gt;&gt;     cython \
  25 | &gt;&gt;&gt;     &amp;&amp; rm -rf /var/lib/apt/lists/*
  26 |     
--------------------
ERROR: failed to solve: process "/bin/sh -c apt-get update &amp;&amp;     apt-get install -y --no-install-recommends     build-essential     gcc     libffi-dev     libssl-dev     python3-dev     cython     &amp;&amp; rm -rf /var/lib/apt/lists/*" did not complete successfully: exit code: 100</t>
  </si>
  <si>
    <t>--------------------
  22 |     # Install dependencies if requirements.txt exists
  23 | &gt;&gt;&gt; RUN if [ -f "requirements.txt" ]; then \
  24 | &gt;&gt;&gt;         pip install -r requirements.txt; \
  25 | &gt;&gt;&gt;     fi
  26 |     
--------------------
ERROR: failed to solve: process "/bin/sh -c if [ -f \"requirements.txt\" ]; then         pip install -r requirements.txt;     fi" did not complete successfully: exit code: 1
HEAD is now at 062fe1aa7 fix(security): enforce disabled flag on blocks in graph validation (#12059)
Your branch is up to date with 'origin/master'.</t>
  </si>
  <si>
    <t>12 min 29 s</t>
  </si>
  <si>
    <t>Output:
/bin/bash: python3.10: No such file or directory</t>
  </si>
  <si>
    <t>Test Gen</t>
  </si>
  <si>
    <t>--------------------
  33 |     
  34 |     # Put repo at root in container
  35 | &gt;&gt;&gt; RUN cp -r /app /
  36 |     WORKDIR /
--------------------
ERROR: failed to solve: process "/bin/sh -c cp -r /app /" did not complete successfully: exit code: 1
HEAD is now at 87e60f704f docs: add targetOptions and startOptions to runEvals reference (#13471)
Your branch is up to date with 'origin/main'.</t>
  </si>
  <si>
    <t>Buggy version test: ✗ Unexpectedly passed
Fixed version test: ✓ Passed as expected
⚠ Test results do not match expectations</t>
  </si>
  <si>
    <t>15h 05m 32s</t>
  </si>
  <si>
    <t>23m 13s</t>
  </si>
  <si>
    <t>Output:
Traceback (most recent call last):
  File "/workspace/tests/test6302.py", line 3, in &lt;module&gt;
    from zod import z
ImportError: cannot import name 'z' from 'zod' (/usr/local/lib/python3.12/site-packages/zod/__init__.py)</t>
  </si>
  <si>
    <t>Final benchmark: 200-300</t>
  </si>
  <si>
    <t>/bin/bash: python3.10: No such file or directory</t>
  </si>
  <si>
    <t>17 min 57 s</t>
  </si>
  <si>
    <t>44h 54m 14s</t>
  </si>
  <si>
    <t>53m 53s</t>
  </si>
  <si>
    <t>4h 51m 45s</t>
  </si>
  <si>
    <t>7m 53s</t>
  </si>
  <si>
    <t>5h 28m 06s</t>
  </si>
  <si>
    <t>8m 52s</t>
  </si>
  <si>
    <t>Issue Number</t>
  </si>
  <si>
    <t>Docker Build</t>
  </si>
  <si>
    <t>Error @pytest.mark.vcr</t>
  </si>
  <si>
    <t>E2E Pipeline</t>
  </si>
  <si>
    <t>Where the error come from</t>
  </si>
  <si>
    <t>Root Cause</t>
  </si>
  <si>
    <t>Can be fixed?</t>
  </si>
  <si>
    <t>Next Error</t>
  </si>
  <si>
    <t>Assigned to</t>
  </si>
  <si>
    <t>f2f</t>
  </si>
  <si>
    <t>AttributeError: 'NoneType' object has no attribute 'tool'</t>
  </si>
  <si>
    <t>Buggy version: PASS ✗ (should fail!)
Fixed version: PASS ✓
Overall: INVALID ✗</t>
  </si>
  <si>
    <t>namastexlabs/automagik-genie</t>
  </si>
  <si>
    <t>Js</t>
  </si>
  <si>
    <t>9h 29m 56s</t>
  </si>
  <si>
    <t>71m 14s</t>
  </si>
  <si>
    <t>Dockerfile - running python command</t>
  </si>
  <si>
    <t>/bin/bash: python3.9: No such file or directory. The concern is why it went to the alternative python command. When the dockerfile was built, it attempted the alternative python command.</t>
  </si>
  <si>
    <t>47s</t>
  </si>
  <si>
    <t>Dockerfile - run pnpm install --frozen-lockfile &amp;&amp; pnpm build &amp;&amp; pnpm link --global</t>
  </si>
  <si>
    <t>The command pnpm link --global failed because pnpm does not know where to store global binaries.</t>
  </si>
  <si>
    <t>Location: src/pipeline/build-run/main.py (708-715).  src/repo-build/claude/run_claude.py (123-126)Add error detection for pnpm global config failures.Provide guidance to set PNPM_HOME env var and add to PATH.</t>
  </si>
  <si>
    <t>Dockerfile</t>
  </si>
  <si>
    <t>1. Commit c764c8dc52e18a78c98c1f3eb64aeca300160f39 not found
2.  failed to solve: process "/bin/sh -c pip install . &amp;&amp;     pip install \"pytest&gt;=7.4.0\" \"pytest-cov&gt;=4.1.0\" \"pytest-asyncio&gt;=1.0.0\" \"diff-cover&gt;=9.0.0\"" did not complete successfully</t>
  </si>
  <si>
    <r>
      <rPr>
        <rFont val="Arial"/>
        <b/>
        <color rgb="FF000000"/>
        <sz val="10.0"/>
      </rPr>
      <t>Location:</t>
    </r>
    <r>
      <rPr>
        <rFont val="Arial"/>
        <b val="0"/>
        <color rgb="FF000000"/>
        <sz val="10.0"/>
      </rPr>
      <t>• src/test-gen/run_docker_tests.py (140-183, 256-263)</t>
    </r>
    <r>
      <rPr>
        <rFont val="Arial"/>
        <b/>
        <color rgb="FF000000"/>
        <sz val="10.0"/>
      </rPr>
      <t>Approach:</t>
    </r>
    <r>
      <rPr>
        <rFont val="Arial"/>
        <b val="0"/>
        <color rgb="FF000000"/>
        <sz val="10.0"/>
      </rPr>
      <t xml:space="preserve">Enhance checkout_commit() to automatically run </t>
    </r>
    <r>
      <rPr>
        <rFont val="Arial"/>
        <b val="0"/>
        <color rgb="FF000000"/>
        <sz val="10.0"/>
      </rPr>
      <t>git fetch --all</t>
    </r>
    <r>
      <rPr>
        <rFont val="Arial"/>
        <b val="0"/>
        <color rgb="FF000000"/>
        <sz val="10.0"/>
      </rPr>
      <t xml:space="preserve"> when commit not found locally.Add error classification.</t>
    </r>
  </si>
  <si>
    <t>Traceback (most recent call last):
  File "/workspace/tests/test228.py", line 7, in &lt;module&gt;
    from valuecell.core.plan.service import PlanService
ModuleNotFoundError: No module named 'valuecell'</t>
  </si>
  <si>
    <t>12s</t>
  </si>
  <si>
    <t>TransformerOptimus/SuperAGI</t>
  </si>
  <si>
    <t>The error occurs because pip is trying to compile the lxml library from source code, but the underlying Linux operating system (inside the Docker container) lacks the necessary C development libraries.</t>
  </si>
  <si>
    <r>
      <rPr>
        <rFont val="Arial"/>
        <b/>
        <color rgb="FF000000"/>
        <sz val="10.0"/>
      </rPr>
      <t>Location:</t>
    </r>
    <r>
      <rPr>
        <rFont val="Arial"/>
        <b val="0"/>
        <color rgb="FF000000"/>
        <sz val="10.0"/>
      </rPr>
      <t>• src/pipeline/build-run/main.py (724-730)• src/test-gen/run_docker_tests.py (313-321)• src/repo-build/claude/run_claude.py (133-136)</t>
    </r>
    <r>
      <rPr>
        <rFont val="Arial"/>
        <b/>
        <color rgb="FF000000"/>
        <sz val="10.0"/>
      </rPr>
      <t>Approach:</t>
    </r>
    <r>
      <rPr>
        <rFont val="Arial"/>
        <b val="0"/>
        <color rgb="FF000000"/>
        <sz val="10.0"/>
      </rPr>
      <t>Detect lxml compilation errors.Add error classification for missing C libraries.Provide apt-get commands to install libxml2-dev, libxslt1-dev, python3-dev, gcc.</t>
    </r>
  </si>
  <si>
    <t>Cannot COPY package.json even though the file exists and missing_c_libraries
ERROR: failed to solve: failed to compute cache key: failed to calculate checksum of ref 7e8aa8a8-8821-413f-b342-59a4f937311a::le7vf4tzu568kh5pims7ncbsv: "/package.json": not found</t>
  </si>
  <si>
    <t>Running test script</t>
  </si>
  <si>
    <t>can't open file '/workspace/tests\\test273.py': [Errno 2] No such file or directory</t>
  </si>
  <si>
    <t>[FIXED]
Buggy version = PASSED (Failed as expected)
Fixed version = PASSED</t>
  </si>
  <si>
    <t>NextJs</t>
  </si>
  <si>
    <t>"/platform/pyproject.toml": not found; even though the file exists.</t>
  </si>
  <si>
    <r>
      <rPr>
        <rFont val="Arial"/>
        <b/>
        <color rgb="FF000000"/>
        <sz val="10.0"/>
      </rPr>
      <t>Location:</t>
    </r>
    <r>
      <rPr>
        <rFont val="Arial"/>
        <b val="0"/>
        <color rgb="FF000000"/>
        <sz val="10.0"/>
      </rPr>
      <t>• src/pipeline/build-run/main.py (23-37, 101-106)• src/repo-build/claude/run_claude.py (29-35, 178-189, 118-121)</t>
    </r>
    <r>
      <rPr>
        <rFont val="Arial"/>
        <b/>
        <color rgb="FF000000"/>
        <sz val="10.0"/>
      </rPr>
      <t>Approach:</t>
    </r>
    <r>
      <rPr>
        <rFont val="Arial"/>
        <b val="0"/>
        <color rgb="FF000000"/>
        <sz val="10.0"/>
      </rPr>
      <t>Add validate_repo_structure() to check file existence.Pass structure info to LLM via REPO_STRUCTURE env var.Emphasize conditional COPY in prompt.</t>
    </r>
  </si>
  <si>
    <t>[Failure in test script]
Traceback (most recent call last):
  File "/workspace/tests/test288.py", line 3, in &lt;module&gt;
    from platform.reworkd_platform.schemas.agent import AgentTaskCreate
ModuleNotFoundError: No module named 'platform.reworkd_platform'; 'platform' is not a package</t>
  </si>
  <si>
    <t>88h 34m 56s</t>
  </si>
  <si>
    <t>75m 55s</t>
  </si>
  <si>
    <t>strands-agents/sdk-python</t>
  </si>
  <si>
    <t>1. Network issue: could not connect to auth.docker.io to fetch the authentication token required to pull the base image.
2. COPY .github/scripts/python/requirements.txt ... failed because Docker could not find that file; even though the file exists.</t>
  </si>
  <si>
    <r>
      <rPr>
        <rFont val="Arial"/>
        <b/>
        <color rgb="FF000000"/>
        <sz val="10.0"/>
      </rPr>
      <t>Location:</t>
    </r>
    <r>
      <rPr>
        <rFont val="Arial"/>
        <b val="0"/>
        <color rgb="FF000000"/>
        <sz val="10.0"/>
      </rPr>
      <t>• src/pipeline/build-run/main.py (237-283, 343-360)• src/test-gen/run_docker_tests.py (343-360)• src/repo-build/claude/run_claude.py (118-121)</t>
    </r>
    <r>
      <rPr>
        <rFont val="Arial"/>
        <b/>
        <color rgb="FF000000"/>
        <sz val="10.0"/>
      </rPr>
      <t>Approach:</t>
    </r>
    <r>
      <rPr>
        <rFont val="Arial"/>
        <b val="0"/>
        <color rgb="FF000000"/>
        <sz val="10.0"/>
      </rPr>
      <t>Add network error retry mechanism (3 attempts, exponential backoff: 2, 4, 8 seconds).Detect Docker vs general network errors.Validate file existence before COPY.</t>
    </r>
  </si>
  <si>
    <t>The root cause is that the build system (hatch using setuptools-scm) is trying to automatically determine the package version from Git metadata (tags/commits), but the .git directory is missing from the container.
7.123 Alternatively, set the version with the environment variable SETUPTOOLS_SCM_PRETEND_VERSION_FOR_${NORMALIZED_DIST_NAME} as described in https://setuptools-scm.readthedocs.io/en/latest/config/
------
claude.dockerfile:33
--------------------
  32 |     # Install core and all extras (for openai/anthropic/pytest coverage)
  33 | &gt;&gt;&gt; RUN pip install --no-cache-dir hatch &amp;&amp; \
  34 | &gt;&gt;&gt;     hatch build &amp;&amp; \
  35 | &gt;&gt;&gt;     pip install --break-system-packages dist/*.whl &amp;&amp; \
  36 | &gt;&gt;&gt;     pip install --break-system-packages "strands-agents[all,bidi-all,openai,anthropic,dev]"
  37 |     
--------------------
ERROR: failed to solve: process "/bin/sh -c pip install --no-cache-dir hatch &amp;&amp;     hatch build &amp;&amp;     pip install --break-system-packages dist/*.whl &amp;&amp;     pip install --break-system-packages \"strands-agents[all,bidi-all,openai,anthropic,dev]\"" did not complete successfully: exit code: 1
HEAD is now at 06c3297 Update to opus 4.5 (#1471)
Your branch is up to date with 'origin/main'.</t>
  </si>
  <si>
    <t>02h 08m 21s</t>
  </si>
  <si>
    <t>4m 16s</t>
  </si>
  <si>
    <t>15h 19m 07s</t>
  </si>
  <si>
    <t>30m 38s</t>
  </si>
  <si>
    <t>1. Network timeout
2. can't open file '/workspace/tests\\test350.py': [Errno 2] No such file or directory</t>
  </si>
  <si>
    <r>
      <rPr>
        <rFont val="Arial"/>
        <b/>
        <color rgb="FF000000"/>
        <sz val="10.0"/>
      </rPr>
      <t>Location:</t>
    </r>
    <r>
      <rPr>
        <rFont val="Arial"/>
        <b val="0"/>
        <color rgb="FF000000"/>
        <sz val="10.0"/>
      </rPr>
      <t>• src/pipeline/build-run/main.py (237-283, 362-370)• src/test-gen/run_docker_tests.py (362-370, 468-482)• src/repo-build/claude/run_claude.py (145-147)</t>
    </r>
    <r>
      <rPr>
        <rFont val="Arial"/>
        <b/>
        <color rgb="FF000000"/>
        <sz val="10.0"/>
      </rPr>
      <t>Approach:</t>
    </r>
    <r>
      <rPr>
        <rFont val="Arial"/>
        <b val="0"/>
        <color rgb="FF000000"/>
        <sz val="10.0"/>
      </rPr>
      <t>Include timeout in network retry mechanism.Normalize path separators (backslash to forward slash).Use absolute paths in container (/workspace/tests/test350.py).</t>
    </r>
  </si>
  <si>
    <t>File "/workspace/tests/test350.py", line 90
.F
======================================================================
FAIL: test_direct_tool_call_with_agent_parameter (__main__.TestAgentToolSerializationBug.test_direct_tool_call_with_agent_parameter)
Simulates _record_tool_execution serializing non-serializable Agent parameter.
----------------------------------------------------------------------
Traceback (most recent call last):
  File "/usr/local/lib/python3.12/unittest/mock.py", line 1396, in patched
    return func(*newargs, **newkeywargs)
           ^^^^^^^^^^^^^^^^^^^^^^^^^^^^^
  File "/workspace/tests/test350.py", line 53, in test_direct_tool_call_with_agent_parameter
    with self.assertRaises(TypeError):
         ^^^^^^^^^^^^^^^^^^^^^^^^^^^^
AssertionError: TypeError not raised
----------------------------------------------------------------------
Ran 2 tests in 0.003s
FAILED (failures=1)</t>
  </si>
  <si>
    <t>Root cause</t>
  </si>
  <si>
    <t xml:space="preserve"> No module named 'openapi_pydantic.v3.v3_0_3'</t>
  </si>
  <si>
    <t>"/requirements.txt": not found "/requirements-test.txt": not found; those files do not exist in the repository</t>
  </si>
  <si>
    <r>
      <rPr>
        <rFont val="Arial"/>
        <b/>
        <color rgb="FF000000"/>
        <sz val="10.0"/>
      </rPr>
      <t>Location:</t>
    </r>
    <r>
      <rPr>
        <rFont val="Arial"/>
        <b val="0"/>
        <color rgb="FF000000"/>
        <sz val="10.0"/>
      </rPr>
      <t>• src/pipeline/build-run/main.py (23-37, 695-700)• src/repo-build/claude/run_claude.py (118-121)</t>
    </r>
    <r>
      <rPr>
        <rFont val="Arial"/>
        <b/>
        <color rgb="FF000000"/>
        <sz val="10.0"/>
      </rPr>
      <t>Approach:</t>
    </r>
    <r>
      <rPr>
        <rFont val="Arial"/>
        <b val="0"/>
        <color rgb="FF000000"/>
        <sz val="10.0"/>
      </rPr>
      <t>Add has_requirements_txt and has_requirements_test_txt to structure validation.Detect requirements.txt missing errors.Emphasize conditional file operations.</t>
    </r>
  </si>
  <si>
    <t>BloopAI/vibe-kanban</t>
  </si>
  <si>
    <t>Could not get the correct PYTHONPATH to run the pytest</t>
  </si>
  <si>
    <t>build failed during the pip install --upgrade pip step with the error:
error: externally-managed-environment hint: See PEP 668 for the detailed specification.</t>
  </si>
  <si>
    <r>
      <rPr>
        <rFont val="Arial"/>
        <b/>
        <color rgb="FF000000"/>
        <sz val="10.0"/>
      </rPr>
      <t>Location:</t>
    </r>
    <r>
      <rPr>
        <rFont val="Arial"/>
        <b val="0"/>
        <color rgb="FF000000"/>
        <sz val="10.0"/>
      </rPr>
      <t>• src/pipeline/build-run/main.py (716-723)• src/test-gen/run_docker_tests.py (303-311)• src/repo-build/claude/run_claude.py (128-131)</t>
    </r>
    <r>
      <rPr>
        <rFont val="Arial"/>
        <b/>
        <color rgb="FF000000"/>
        <sz val="10.0"/>
      </rPr>
      <t>Approach:</t>
    </r>
    <r>
      <rPr>
        <rFont val="Arial"/>
        <b val="0"/>
        <color rgb="FF000000"/>
        <sz val="10.0"/>
      </rPr>
      <t xml:space="preserve">Detect PEP 668 errors.Provide three solutions: use virtual environment, </t>
    </r>
    <r>
      <rPr>
        <rFont val="Arial"/>
        <b val="0"/>
        <color rgb="FF000000"/>
        <sz val="10.0"/>
      </rPr>
      <t>--break-system-packages</t>
    </r>
    <r>
      <rPr>
        <rFont val="Arial"/>
        <b val="0"/>
        <color rgb="FF000000"/>
        <sz val="10.0"/>
      </rPr>
      <t xml:space="preserve"> flag, or </t>
    </r>
    <r>
      <rPr>
        <rFont val="Arial"/>
        <b val="0"/>
        <color rgb="FF000000"/>
        <sz val="10.0"/>
      </rPr>
      <t>--user</t>
    </r>
    <r>
      <rPr>
        <rFont val="Arial"/>
        <b val="0"/>
        <color rgb="FF000000"/>
        <sz val="10.0"/>
      </rPr>
      <t xml:space="preserve"> flag.Add guidance in prompt.</t>
    </r>
  </si>
  <si>
    <t>[Failure in test script]
File "/usr/lib/python3.11/unittest/mock.py", line 1366, in patched
    with self.decoration_helper(patched,
  File "/usr/lib/python3.11/contextlib.py", line 137, in __enter__
    return next(self.gen)
           ^^^^^^^^^^^^^^
  File "/usr/lib/python3.11/unittest/mock.py", line 1348, in decoration_helper
    arg = exit_stack.enter_context(patching)
          ^^^^^^^^^^^^^^^^^^^^^^^^^^^^^^^^^^
  File "/usr/lib/python3.11/contextlib.py", line 505, in enter_context
    result = _enter(cm)
             ^^^^^^^^^^
  File "/usr/lib/python3.11/unittest/mock.py", line 1421, in __enter__
    self.target = self.getter()
                  ^^^^^^^^^^^^^
  File "/usr/lib/python3.11/pkgutil.py", line 700, in resolve_name
    mod = importlib.import_module(modname)
          ^^^^^^^^^^^^^^^^^^^^^^^^^^^^^^^^
  File "/usr/lib/python3.11/importlib/__init__.py", line 126, in import_module
    return _bootstrap._gcd_import(name[level:], package, level)
           ^^^^^^^^^^^^^^^^^^^^^^^^^^^^^^^^^^^^^^^^^^^^^^^^^^^^
  File "&lt;frozen importlib._bootstrap&gt;", line 1206, in _gcd_import
  File "&lt;frozen importlib._bootstrap&gt;", line 1178, in _find_and_load
  File "&lt;frozen importlib._bootstrap&gt;", line 1142, in _find_and_load_unlocked
ModuleNotFoundError: No module named 'server'</t>
  </si>
  <si>
    <t>restatedev/restate</t>
  </si>
  <si>
    <t>It tried to RUN pip install --no-cache-dir . but there is no setup.py or pyproject.toml file in the repository because this agent is using Rust.</t>
  </si>
  <si>
    <r>
      <rPr>
        <rFont val="Arial"/>
        <b/>
        <color rgb="FF000000"/>
        <sz val="10.0"/>
      </rPr>
      <t>Location:</t>
    </r>
    <r>
      <rPr>
        <rFont val="Arial"/>
        <b val="0"/>
        <color rgb="FF000000"/>
        <sz val="10.0"/>
      </rPr>
      <t>• src/pipeline/build-run/main.py (23-37, 731-738)• src/test-gen/run_docker_tests.py (333-341)• src/repo-build/claude/run_claude.py (77, 81-85, 139-142)</t>
    </r>
    <r>
      <rPr>
        <rFont val="Arial"/>
        <b/>
        <color rgb="FF000000"/>
        <sz val="10.0"/>
      </rPr>
      <t>Approach:</t>
    </r>
    <r>
      <rPr>
        <rFont val="Arial"/>
        <b val="0"/>
        <color rgb="FF000000"/>
        <sz val="10.0"/>
      </rPr>
      <t>Add has_cargo_toml check in structure validation.Detect Rust project errors.Add Rust base image selection and project type detection in prompt.Guide to use cargo build instead of pip install.</t>
    </r>
  </si>
  <si>
    <t xml:space="preserve">[Failure in test script]
AttributeError: module 'crates' has no attribute 'invoker_impl'
</t>
  </si>
  <si>
    <t>agiresearch/AIOS</t>
  </si>
  <si>
    <t>rust</t>
  </si>
  <si>
    <t>Failure in test script</t>
  </si>
  <si>
    <t>ModuleNotFoundError: No module named 'litellm'</t>
  </si>
  <si>
    <t>44h 53m 49s</t>
  </si>
  <si>
    <t>42m 05s</t>
  </si>
  <si>
    <t>None of PyTorch, TensorFlow &gt;= 2.0, or Flax have been found. Models won't be available and only tokenizers, configuration and file/data utilities can be used.
EE
======================================================================
ERROR: test_invalid_api_key_does_not_crash_kernel (__main__.TestKernelInvalidAPIKey.test_invalid_api_key_does_not_crash_kernel)
----------------------------------------------------------------------
Traceback (most recent call last):
  File "/workspace/tests/test426.py", line 67, in test_invalid_api_key_does_not_crash_kernel
    from aios.llm_core.adapter import LLMAdapter
  File "/workspace/aios/llm_core/adapter.py", line 5, in &lt;module&gt;
    from cerebrum.llm.communication import Response
  File "/venv/lib/python3.12/site-packages/cerebrum/__init__.py", line 109
                                print "WARNING: Hearing Perception process is terminated."
                                ^^^^^^^^^^^^^^^^^^^^^^^^^^^^^^^^^^^^^^^^^^^^^^^^^^^^^^^^^^
SyntaxError: Missing parentheses in call to 'print'. Did you mean print(...)?
======================================================================
ERROR: test_invalid_api_key_returns_error (__main__.TestKernelInvalidAPIKey.test_invalid_api_key_returns_error)
----------------------------------------------------------------------
Traceback (most recent call last):
  File "/workspace/tests/test426.py", line 34, in test_invalid_api_key_returns_error
    from aios.llm_core.adapter import LLMAdapter, LLMConfig
  File "/workspace/aios/llm_core/adapter.py", line 5, in &lt;module&gt;
    from cerebrum.llm.communication import Response
  File "/venv/lib/python3.12/site-packages/cerebrum/__init__.py", line 109
                                print "WARNING: Hearing Perception process is terminated."
                                ^^^^^^^^^^^^^^^^^^^^^^^^^^^^^^^^^^^^^^^^^^^^^^^^^^^^^^^^^^
SyntaxError: Missing parentheses in call to 'print'. Did you mean print(...)?</t>
  </si>
  <si>
    <t>assafelovic/gpt-researcher</t>
  </si>
  <si>
    <t>3h 17m 13s</t>
  </si>
  <si>
    <t>5m 3s</t>
  </si>
  <si>
    <t>ModuleNotFoundError: No module named 'gpt_researcher', cannot import name 'ChatOpenAI' from 'langchain_openai', KeyError: 'langchain_openai'</t>
  </si>
  <si>
    <t>Traceback (most recent call last):
  File "/usr/local/lib/python3.12/unittest/mock.py", line 1861, in _inner
    return f(*args, **kw)
           ^^^^^^^^^^^^^^
  File "/usr/local/lib/python3.12/unittest/mock.py", line 1396, in patched
    return func(*newargs, **newkeywargs)
           ^^^^^^^^^^^^^^^^^^^^^^^^^^^^^
  File "/workspace/tests/test427.py", line 56, in test_azureopenai_config_does_not_raise_asgi_error
    self.assertIsNone(exception, f"ASGI config error: {exception}")
AssertionError: OSError("cannot load library 'libgobject-2.0-0': libgobject-2.0-0: cannot open shared object file: No such file or directory.  Additionally, ctypes.util.find_library() did not manage to locate a library called 'libgobject-2.0-0'") is not None : ASGI config error: cannot load library 'libgobject-2.0-0': libgobject-2.0-0: cannot open shared object file: No such file or directory.  Additionally, ctypes.util.find_library() did not manage to locate a library called 'libgobject-2.0-0'
Fixed version: FAIL (fail unexpectedly)</t>
  </si>
  <si>
    <t>02h 38m 56s</t>
  </si>
  <si>
    <t>4m 5s</t>
  </si>
  <si>
    <t>Network connection timeout</t>
  </si>
  <si>
    <t>Buggy version test: ✗ Unexpectedly passed
Fixed version test: ✓ Passed as expected</t>
  </si>
  <si>
    <t>dockerbuild error - could not complete all the agent's modules installation</t>
  </si>
  <si>
    <t>poetry executable not found in PATH after installation via pipx.</t>
  </si>
  <si>
    <r>
      <rPr>
        <rFont val="Arial"/>
        <b/>
        <color rgb="FF000000"/>
        <sz val="10.0"/>
      </rPr>
      <t>Location:</t>
    </r>
    <r>
      <rPr>
        <rFont val="Arial"/>
        <b val="0"/>
        <color rgb="FF000000"/>
        <sz val="10.0"/>
      </rPr>
      <t>• src/pipeline/build-run/main.py (739-746)• src/test-gen/run_docker_tests.py (323-331)• src/repo-build/claude/run_claude.py (127-130)</t>
    </r>
    <r>
      <rPr>
        <rFont val="Arial"/>
        <b/>
        <color rgb="FF000000"/>
        <sz val="10.0"/>
      </rPr>
      <t>Approach:</t>
    </r>
    <r>
      <rPr>
        <rFont val="Arial"/>
        <b val="0"/>
        <color rgb="FF000000"/>
        <sz val="10.0"/>
      </rPr>
      <t xml:space="preserve">Detect poetry not found errors.Provide solution to add pipx bin to PATH: </t>
    </r>
    <r>
      <rPr>
        <rFont val="Arial"/>
        <b val="0"/>
        <color rgb="FF000000"/>
        <sz val="10.0"/>
      </rPr>
      <t>ENV PATH="/root/.local/bin:$PATH"</t>
    </r>
    <r>
      <rPr>
        <rFont val="Arial"/>
        <b val="0"/>
        <color rgb="FF000000"/>
        <sz val="10.0"/>
      </rPr>
      <t>.Add poetry installation guidance in prompt.</t>
    </r>
  </si>
  <si>
    <t>Buggy version: FAIL (pass unexpectedly)
Fixed version: PASS</t>
  </si>
  <si>
    <t>Test scipt</t>
  </si>
  <si>
    <t>ModuleNotFoundError: No module named 'platform.reworkd_platform'; 'platform' is not a package</t>
  </si>
  <si>
    <r>
      <rPr>
        <rFont val="Arial"/>
        <b/>
        <color rgb="FF000000"/>
        <sz val="10.0"/>
      </rPr>
      <t>Location:</t>
    </r>
    <r>
      <rPr>
        <rFont val="Arial"/>
        <b val="0"/>
        <color rgb="FF000000"/>
        <sz val="10.0"/>
      </rPr>
      <t>• src/test-gen/run_docker_tests.py (372-382)</t>
    </r>
    <r>
      <rPr>
        <rFont val="Arial"/>
        <b/>
        <color rgb="FF000000"/>
        <sz val="10.0"/>
      </rPr>
      <t>Approach:</t>
    </r>
    <r>
      <rPr>
        <rFont val="Arial"/>
        <b val="0"/>
        <color rgb="FF000000"/>
        <sz val="10.0"/>
      </rPr>
      <t>Detect ModuleNotFoundError with platform module conflicts.Provide suggestions: check PYTHONPATH, use absolute imports,check for directory naming conflicts with stdlib.</t>
    </r>
  </si>
  <si>
    <t xml:space="preserve">Traceback (most recent call last):
  File "/workspace/tests/test878.py", line 4, in &lt;module&gt;
    from reworkd_platform.schemas.agent import ModelSettings
ModuleNotFoundError: No module named 'reworkd_platform'
</t>
  </si>
  <si>
    <t>64h 36m 32s</t>
  </si>
  <si>
    <t>82m 28s</t>
  </si>
  <si>
    <t>FAIL: test_error_message_state (__main__.TestInvokerErrorMessage.test_error_message_state)
Should update last_logged_error attribute with error details.
----------------------------------------------------------------------
Traceback (most recent call last):
  File "/workspace/test494.py", line 48, in test_error_message_state
    self.assertEqual(
AssertionError: None != '[Internal] Test error occurred'</t>
  </si>
  <si>
    <t>[FIXED]
Buggy version = FAIL
Fixed version = PASS</t>
  </si>
  <si>
    <t>Failure in copying .github/scripts/python/requirements.txt to docker image due to the file could not be found. However, the file actually exists in the mentioned location in the repository.</t>
  </si>
  <si>
    <t>ModuleNotFoundError: No module named 'strands.types.event_loop'</t>
  </si>
  <si>
    <t>6h 11m 17s</t>
  </si>
  <si>
    <t>10m 2s</t>
  </si>
  <si>
    <t>Broken log</t>
  </si>
  <si>
    <t>------
.dockerfile.Fixed_Version.tmp:54
--------------------
  52 |     # ---- INSTALL SPECIFIC STRANDS VERSION ----
  53 |     # Ensure the correct version of the strands library is installed
  54 | &gt;&gt;&gt; RUN pip install strands==0.1.0 strands-agents-tools
  55 |     
  56 |     # ---- UNITTEST ENVIRONMENT ----
--------------------
ERROR: failed to solve: process "/bin/sh -c pip install strands==0.1.0 strands-agents-tools" did not complete successfully: exit code: 1</t>
  </si>
  <si>
    <t>semanser/codel</t>
  </si>
  <si>
    <t>Test script</t>
  </si>
  <si>
    <t>Buggy version = FAILED (Pass unexpectedly)
Fixed version = PASSED</t>
  </si>
  <si>
    <t>ag2ai/ag2</t>
  </si>
  <si>
    <t>f2f - could not install crewai_tools</t>
  </si>
  <si>
    <t>/bin/bash: /usr/bin/python3: No such file or directory</t>
  </si>
  <si>
    <t>ERROR: failed to solve: process "/bin/sh -c pip install strands" did not complete successfully: exit code: 1
HEAD is now at 06c3297 Update to opus 4.5 (#1471)
Your branch is up to date with 'origin/main'.</t>
  </si>
  <si>
    <t>--------------------
  67 |     # Install strands and test dependencies; always ensure test tooling is installed
  68 |     # ==============================
  69 | &gt;&gt;&gt; RUN hatch run pip install strands || pip install strands
  70 |     RUN hatch run pip install pytest pytest-asyncio pytest-cov pytest-xdist moto aiohttp || true
  71 |     
--------------------
ERROR: failed to solve: process "/bin/sh -c hatch run pip install strands || pip install strands" did not complete successfully: exit code: 1</t>
  </si>
  <si>
    <t>42h 6m 39s</t>
  </si>
  <si>
    <t>105m 16s</t>
  </si>
  <si>
    <t>/bin/bash: python: No such file or directory</t>
  </si>
  <si>
    <t>56s</t>
  </si>
  <si>
    <t>$0</t>
  </si>
  <si>
    <t>Buggy version test: ✓ Failed as expected
Fixed version test: ✗ Unexpectedly failed
======================================================================
ERROR: test_output_entry_not_replayed_on_recovery (__main__.InvocationRecoveryTest.test_output_entry_not_replayed_on_recovery)
----------------------------------------------------------------------
Traceback (most recent call last):
  File "/workspace/tests/test447.py", line 24, in test_output_entry_not_replayed_on_recovery
    with patch("test447.service_endpoint.send_output", self.service_endpoint.send_output) as mock_send_output:
         ^^^^^^^^^^^^^^^^^^^^^^^^^^^^^^^^^^^^^^^^^^^^^^^^^^^^^^^^^^^^^^^^^^^^^^^^^^^^^^^^
  File "/usr/local/lib/python3.12/unittest/mock.py", line 1451, in __enter__
    self.target = self.getter()
                  ^^^^^^^^^^^^^
  File "/usr/local/lib/python3.12/pkgutil.py", line 528, in resolve_name
    result = getattr(result, p)
             ^^^^^^^^^^^^^^^^^^
AttributeError: module 'test447' has no attribute 'service_endpoint'
----------------------------------------------------------------------
Ran 1 test in 0.002s
FAILED (errors=1)</t>
  </si>
  <si>
    <t xml:space="preserve">Buggy version test: ✓ Failed as expected
Fixed version test: ✗ Unexpectedly failed
======================================================================
ERROR: test_openai_submission_with_invalid_name_sends_bad_request (__main__.TestConversableAgentNameValidation.test_openai_submission_with_invalid_name_sends_bad_request)    
Prior to the validation patch, the OpenAI API would receive a 'name' with spaces and return a BadRequestError. Test mocks this.
----------------------------------------------------------------------
Traceback (most recent call last):
  File "/usr/local/lib/python3.12/unittest/mock.py", line 1396, in patched
    return func(*newargs, **newkeywargs)
           ^^^^^^^^^^^^^^^^^^^^^^^^^^^^^
  File "/workspace/test451.py", line 41, in test_openai_submission_with_invalid_name_sends_bad_request
    mock_client.chat.completions.create.side_effect = BadRequestError(
                                                      ^^^^^^^^^^^^^^^^
TypeError: APIStatusError.__init__() missing 1 required keyword-only argument: 'body'  
======================================================================
FAIL: test_agent_name_with_invalid_characters (__main__.TestConversableAgentNameValidation.test_agent_name_with_invalid_characters)
----------------------------------------------------------------------
Traceback (most recent call last):
  File "/workspace/test451.py", line 23, in test_agent_name_with_invalid_characters    
    with self.assertRaises(ValueError, msg=f"Name `{invalid_name}` should raise ValueError"):
         ^^^^^^^^^^^^^^^^^^^^^^^^^^^^^^^^^^^^^^^^^^^^^^^^^^^^^^^^^^^^^^^^^^^^^^^^^^^^^^^^^^^
AssertionError: ValueError not raised : Name `Agent One` should raise ValueError </t>
  </si>
  <si>
    <t xml:space="preserve">Buggy version test: ✓ Failed as expected
Fixed version test: ✗ Unexpectedly failed
Traceback (most recent call last):
  File "/workspace/tests/test484.py", line 5, in &lt;module&gt;
    with patch("autogen.agentchat.realtime.experimental.RealtimeClientProtocol", MagicMock()):
         ^^^^^^^^^^^^^^^^^^^^^^^^^^^^^^^^^^^^^^^^^^^^^^^^^^^^^^^^^^^^^^^^^^^^^^^^^^^^^^^^^^^^
  File "/usr/local/lib/python3.12/unittest/mock.py", line 1467, in __enter__        
    original, local = self.get_original()
                      ^^^^^^^^^^^^^^^^^^^
  File "/usr/local/lib/python3.12/unittest/mock.py", line 1437, in get_original     
    raise AttributeError(
AttributeError: &lt;module 'autogen.agentchat.realtime.experimental' from '/usr/local/lib/python3.12/site-packages/autogen/agentchat/realtime/experimental/__init__.py'&gt; does not have the attribute 'RealtimeClientProtocol'
</t>
  </si>
  <si>
    <t>.dockerfile.Buggy_Version.tmp:35
--------------------
  33 |     
  34 |     # Install dependencies and backend requirements (dev/test too)
  35 | &gt;&gt;&gt; RUN uv sync --frozen --extra "postgresql,dev"
  36 |     
  37 |     # Install frontend deps if present
--------------------
ERROR: failed to solve: process "/bin/sh -c uv sync --frozen --extra \"postgresql,dev\"" did not complete successfully: exit code: 2</t>
  </si>
  <si>
    <t xml:space="preserve">Buggy version: FAIL ✓
Fixed version: FAIL ✗ (should pass!)
======================================================================
ERROR: test_a2a_server_agent_card_bug (__main__.TestA2AAgentCardValidationError.test_a2a_server_agent_card_bug)
----------------------------------------------------------------------
Traceback (most recent call last):
  File "/usr/local/lib/python3.12/unittest/mock.py", line 1393, in patched
    with self.decoration_helper(patched,
         ^^^^^^^^^^^^^^^^^^^^^^^^^^^^^^^
  File "/usr/local/lib/python3.12/contextlib.py", line 137, in __enter__
    return next(self.gen)
           ^^^^^^^^^^^^^^
  File "/usr/local/lib/python3.12/unittest/mock.py", line 1375, in decoration_helper
    arg = exit_stack.enter_context(patching)
          ^^^^^^^^^^^^^^^^^^^^^^^^^^^^^^^^^^
  File "/usr/local/lib/python3.12/contextlib.py", line 526, in enter_context
    result = _enter(cm)
             ^^^^^^^^^^
  File "/usr/local/lib/python3.12/unittest/mock.py", line 1451, in __enter__
    self.target = self.getter()
                  ^^^^^^^^^^^^^
  File "/usr/local/lib/python3.12/pkgutil.py", line 528, in resolve_name
    result = getattr(result, p)
             ^^^^^^^^^^^^^^^^^^
AttributeError: module 'strands.multiagent.a2a' has no attribute 'A2AServer' </t>
  </si>
  <si>
    <t>24h 11m 21s</t>
  </si>
  <si>
    <t>18m 8s</t>
  </si>
  <si>
    <t>3h 13m 16s</t>
  </si>
  <si>
    <t>claude.dockerfile:40
--------------------
  38 |     # Install all project dependencies (including all extras for test/dev)
  39 |     RUN hatch env create
  40 | &gt;&gt;&gt; RUN hatch dep install .[all,dev]  # Installs all extras, including test/dev tools
  41 |     
  42 |     # Explicitly install the 'strands' library to ensure it is available
--------------------
ERROR: failed to solve: process "/bin/bash -c hatch dep install .[all,dev]  # Installs all extras, including test/dev tools" did not complete successfully: exit code: 2</t>
  </si>
  <si>
    <t>17h 37m 29s</t>
  </si>
  <si>
    <t>35m 15s</t>
  </si>
  <si>
    <t>.dockerfile.Buggy_Version.tmp:32
--------------------
  30 |     
  31 |     # Install project, including test dependencies if defined in pyproject.toml
  32 | &gt;&gt;&gt; RUN /venv/bin/pip install .
  33 |     
  34 |     # Verify unittest is available
--------------------
ERROR: failed to solve: process "/bin/sh -c /venv/bin/pip install ." did not complete successfully: exit code: 1</t>
  </si>
  <si>
    <t>Buggy version: FAIL ✓
Fixed version: FAIL ✗ (should pass!)
Traceback (most recent call last):
  File "/workspace/tests/test714.py", line 2, in &lt;module&gt;
    from strands.telemetry.tracer import Tracer
ModuleNotFoundError: No module named 'strands.telemetry.tracer'</t>
  </si>
  <si>
    <t>microsoft/autogen</t>
  </si>
  <si>
    <t>Traceback (most recent call last):
  File "/workspace/tests/test782.py", line 14, in setUp
    self.mock_teachable_cls = patcher.start()
                              ^^^^^^^^^^^^^^^
  File "/usr/local/lib/python3.12/unittest/mock.py", line 1624, in start
    result = self.__enter__()
             ^^^^^^^^^^^^^^^^
  File "/usr/local/lib/python3.12/unittest/mock.py", line 1451, in __enter__
    self.target = self.getter()
                  ^^^^^^^^^^^^^
  File "/usr/local/lib/python3.12/pkgutil.py", line 513, in resolve_name
    mod = importlib.import_module(modname)
          ^^^^^^^^^^^^^^^^^^^^^^^^^^^^^^^^
  File "/usr/local/lib/python3.12/importlib/__init__.py", line 90, in import_module
    return _bootstrap._gcd_import(name[level:], package, level)
           ^^^^^^^^^^^^^^^^^^^^^^^^^^^^^^^^^^^^^^^^^^^^^^^^^^^^
  File "&lt;frozen importlib._bootstrap&gt;", line 1387, in _gcd_import
  File "&lt;frozen importlib._bootstrap&gt;", line 1360, in _find_and_load
  File "&lt;frozen importlib._bootstrap&gt;", line 1324, in _find_and_load_unlocked
ModuleNotFoundError: No module named 'autogen'</t>
  </si>
  <si>
    <t>Traceback (most recent call last):
  File "/workspace/tests/test787.py", line 13, in &lt;module&gt;
    from src.strands.tools.mcp.mcp_agent_tool import MCPAgentTool
ModuleNotFoundError: No module named 'src'</t>
  </si>
  <si>
    <t>File "&lt;frozen importlib._bootstrap&gt;", line 1142, in _find_and_load_unlocked
ModuleNotFoundError: No module named 'your_module'
======================================================================
ERROR: test_codex_ignores_non_agent_or_assistant (__main__.AgentMessageHandlingTest.test_codex_ignores_non_agent_or_assistant)
Test unrelated message types are ignored and do not affect assistant response or external_session_id.
----------------------------------------------------------------------
Traceback (most recent call last):
  File "/usr/lib/python3.11/unittest/mock.py", line 1366, in patched
    with self.decoration_helper(patched,
  File "/usr/lib/python3.11/contextlib.py", line 137, in __enter__
    return next(self.gen)
           ^^^^^^^^^^^^^^
  File "/usr/lib/python3.11/unittest/mock.py", line 1348, in decoration_helper
    arg = exit_stack.enter_context(patching)
          ^^^^^^^^^^^^^^^^^^^^^^^^^^^^^^^^^^
  File "/usr/lib/python3.11/contextlib.py", line 505, in enter_context
    result = _enter(cm)
             ^^^^^^^^^^
  File "/usr/lib/python3.11/unittest/mock.py", line 1421, in __enter__
    self.target = self.getter()
                  ^^^^^^^^^^^^^
  File "/usr/lib/python3.11/pkgutil.py", line 700, in resolve_name
    mod = importlib.import_module(modname)
          ^^^^^^^^^^^^^^^^^^^^^^^^^^^^^^^^
  File "/usr/lib/python3.11/importlib/__init__.py", line 126, in import_module
    return _bootstrap._gcd_import(name[level:], package, level)
           ^^^^^^^^^^^^^^^^^^^^^^^^^^^^^^^^^^^^^^^^^^^^^^^^^^^^
  File "&lt;frozen importlib._bootstrap&gt;", line 1206, in _gcd_import
  File "&lt;frozen importlib._bootstrap&gt;", line 1178, in _find_and_load
  File "&lt;frozen importlib._bootstrap&gt;", line 1142, in _find_and_load_unlocked
ModuleNotFoundError: No module named 'your_module'\</t>
  </si>
  <si>
    <t>49h 18m 40s</t>
  </si>
  <si>
    <t>92m 27s</t>
  </si>
  <si>
    <t>--------------------
  34 |     
  35 |     # Install all project dependencies (including dev, all) for testing (ensures pytest+unittest)
  36 | &gt;&gt;&gt; RUN hatch env create
  37 |     RUN hatch -e default run pip list
  38 |     
--------------------
ERROR: failed to solve: process "/bin/sh -c hatch env create" did not complete successfully: exit code: 1
HEAD is now at 06c3297 Update to opus 4.5 (#1471)</t>
  </si>
  <si>
    <t>2h 9m 11s</t>
  </si>
  <si>
    <t>3m 19s</t>
  </si>
  <si>
    <t>*tuzi-baseline</t>
  </si>
  <si>
    <t>ERROR: test_answer_indicates_view_origin (__main__.TestSqlAnswerViewOrigin.test_answer_indicates_view_origin)
If answering a question that matches a saved view,
----------------------------------------------------------------------
Traceback (most recent call last):
  File "/workspace/tests/test880.py", line 14, in setUp
    self.MockSQLAnswer = patcher_pipeline.start()
                         ^^^^^^^^^^^^^^^^^^^^^^^^
  File "/usr/local/lib/python3.12/unittest/mock.py", line 1624, in start
    result = self.__enter__()
             ^^^^^^^^^^^^^^^^
  File "/usr/local/lib/python3.12/unittest/mock.py", line 1451, in __enter__
    self.target = self.getter()
                  ^^^^^^^^^^^^^
  File "/usr/local/lib/python3.12/pkgutil.py", line 513, in resolve_name
    mod = importlib.import_module(modname)
          ^^^^^^^^^^^^^^^^^^^^^^^^^^^^^^^^
  File "/usr/local/lib/python3.12/importlib/__init__.py", line 90, in import_module
    return _bootstrap._gcd_import(name[level:], package, level)
           ^^^^^^^^^^^^^^^^^^^^^^^^^^^^^^^^^^^^^^^^^^^^^^^^^^^^
  File "&lt;frozen importlib._bootstrap&gt;", line 1387, in _gcd_import
  File "&lt;frozen importlib._bootstrap&gt;", line 1360, in _find_and_load
  File "&lt;frozen importlib._bootstrap&gt;", line 1324, in _find_and_load_unlocked
ModuleNotFoundError: No module named 'src'
----------------------------------------------------------------------</t>
  </si>
  <si>
    <t>16h 13m 09s</t>
  </si>
  <si>
    <t>24m 57s</t>
  </si>
  <si>
    <t>claude.dockerfile:23
--------------------
  21 |     # Copy everything (repo context). For testing, also COPY tests/ if it exists
  22 |     COPY . /workspace
  23 | &gt;&gt;&gt; RUN if [ -d "tests" ]; then cp -r tests/ /workspace/tests/; fi
  24 |     
  25 |     # -- Python + unittest setup --
--------------------
ERROR: failed to solve: process "/bin/sh -c if [ -d \"tests\" ]; then cp -r tests/ /workspace/tests/; fi" did not complete successfully: exit code: 1</t>
  </si>
  <si>
    <t>google/adk-python</t>
  </si>
  <si>
    <t>.dockerfile.Fixed_Version.tmp:32
--------------------
  31 |     # Install project dependencies ONLY if pyproject.toml exists, [project] section exists, and LICENSE exists
  32 | &gt;&gt;&gt; RUN if [ -f "pyproject.toml" ] &amp;&amp; grep -q '\[project\]' pyproject.toml; then \
  33 | &gt;&gt;&gt;         LICENSE_FILE=$(python3 -c "import toml; t=toml.load('pyproject.toml'); print(t.get('project', {}).get('license', {}).get('file', 'LICENSE'))"); \
  34 | &gt;&gt;&gt;         if [ -f \"$LICENSE_FILE\" ]; then pip install .; fi \
  35 | &gt;&gt;&gt;     fi
  36 |     
--------------------
ERROR: failed to solve: process "/bin/sh -c if [ -f \"pyproject.toml\" ] &amp;&amp; grep -q '\\[project\\]' pyproject.toml; then         LICENSE_FILE=$(python3 -c \"import toml; t=toml.load('pyproject.toml'); print(t.get('project', {}).get('license', {}).get('file', 'LICENSE'))\");         if [ -f \\\"$LICENSE_FILE\\\" ]; then pip install .; fi     fi" did not complete successfully: exit code: 1</t>
  </si>
  <si>
    <t>lm-sys/FastChat</t>
  </si>
  <si>
    <t xml:space="preserve">--------------------
  27 |     # (PEP 668) Install test dependencies in a venv
  28 | &gt;&gt;&gt; RUN python3 -m venv /venv \
  29 | &gt;&gt;&gt;  &amp;&amp; /venv/bin/pip install --upgrade pip wheel setuptools \
  30 | &gt;&gt;&gt;  &amp;&amp; /venv/bin/pip install --break-system-packages .[dev] \
  31 | &gt;&gt;&gt;  &amp;&amp; /venv/bin/pip install --break-system-packages ".[model_worker,webui,train,llm_judge]"
  32 |     
--------------------
ERROR: failed to solve: process "/bin/sh -c python3 -m venv /venv  &amp;&amp; /venv/bin/pip install --upgrade pip wheel setuptools  &amp;&amp; /venv/bin/pip install --break-system-packages .[dev]  &amp;&amp; /venv/bin/pip install --break-system-packages \".[model_worker,webui,train,llm_judge]\"" did not complete successfully: exit code: 1
Error classification: pep668_error
Suggestions:
  - Use virtual environment: RUN python3 -m venv /venv &amp;&amp; /venv/bin/pip install ...
  - Or use --break-system-packages flag: RUN pip install --break-system-packages ...
  - Or use --user flag: RUN pip install --user ...
</t>
  </si>
  <si>
    <t>48h 40m 13s</t>
  </si>
  <si>
    <t>63m 28s</t>
  </si>
  <si>
    <t>--------------------
  39 |     
  40 |     # Build/install in editable mode (dev env with all extras, bypass VCS tag version requirement)
  41 | &gt;&gt;&gt; RUN hatch -e default run pip install .
  42 |     
  43 |     # If for some reason editable install fails, fallback to direct install
--------------------
ERROR: failed to solve: process "/bin/sh -c hatch -e default run pip install ." did not complete successfully: exit code: 1</t>
  </si>
  <si>
    <t>2h 51m 27s</t>
  </si>
  <si>
    <t>4m 38s</t>
  </si>
  <si>
    <t>--------------------
  29 |     # 4. Python build and install
  30 |     # If pyproject.toml exists, use pip build
  31 | &gt;&gt;&gt; RUN if [ -f "pyproject.toml" ]; then pip install --break-system-packages . || pip install --user . ; fi
  32 |     
  33 |     # 5. Ensure unittest is available (built-in, check import) and discoverable
--------------------
ERROR: failed to solve: process "/bin/sh -c if [ -f \"pyproject.toml\" ]; then pip install --break-system-packages . || pip install --user . ; fi" did not complete successfully: exit code: 1</t>
  </si>
  <si>
    <t>9h 33m 32s</t>
  </si>
  <si>
    <t>15m 30s</t>
  </si>
  <si>
    <t>Traceback (most recent call last):
  File "/workspace/tests/test1011.py", line 29, in setUp
    from autogen.llm_config import LLMConfig
ModuleNotFoundError: No module named 'autogen.llm_config'</t>
  </si>
  <si>
    <t>BasedHardware/omi</t>
  </si>
  <si>
    <t>"Traceback (most recent call last):
  File ""/workspace/tests/test1057.py"", line 9, in &lt;module&gt;
    from backend.models.daily_summary import DailySummary
ModuleNotFoundError: No module named 'backend'"</t>
  </si>
  <si>
    <t>--------------------
  34 |     RUN pip install --break-system-packages --upgrade pip &amp;&amp; pip install --break-system-packages hatch
  35 |     # Install core dependencies (NO [test]; editable mode for local development)
  36 | &gt;&gt;&gt; RUN pip install --break-system-packages -e ..
  37 |     
  38 |     # --- Copy tests if present ---
--------------------
ERROR: failed to solve: process "/bin/sh -c pip install --break-system-packages -e .." did not complete successfully: exit code: 1</t>
  </si>
  <si>
    <t>22h 53m 24s</t>
  </si>
  <si>
    <t>54m 56s</t>
  </si>
  <si>
    <t>--------------------
  37 |     RUN pip install hatch
  38 |     # Install project (including deps specified in pyproject), hatch will build/install per pyproject.toml
  39 | &gt;&gt;&gt; RUN hatch build &amp;&amp; pip install dist/*.whl
  40 |     
  41 |     # Install test/development dependencies from pyproject.toml, if defined
--------------------
ERROR: failed to solve: process "/bin/sh -c hatch build &amp;&amp; pip install dist/*.whl" did not complete successfully: exit code: 1</t>
  </si>
  <si>
    <t xml:space="preserve">Traceback (most recent call last):
  File "/usr/local/lib/python3.12/asyncio/runners.py", line 118, in run
    return self._loop.run_until_complete(task)
           ^^^^^^^^^^^^^^^^^^^^^^^^^^^^^^^^^^^
  File "/usr/local/lib/python3.12/asyncio/base_events.py", line 691, in run_until_complete
    return future.result()
           ^^^^^^^^^^^^^^^
  File "/workspace/tests/test1238.py", line 39, in test_tool_call_in_group_chat_non_executor_plain_text
    agent1 = AssistantAgent("tool_user", model_client=self.model_client_tool_user, tools=[lambda: "x"])
             ^^^^^^^^^^^^^^^^^^^^^^^^^^^^^^^^^^^^^^^^^^^^^^^^^^^^^^^^^^^^^^^^^^^^^^^^^^^^^^^^^^^^^^^^^^
  File "/usr/local/lib/python3.12/site-packages/autogen_agentchat/agents/_assistant_agent.py", line 774, in __init__
    raise ValueError("The model does not support function calling.")
ValueError: The model does not support function calling.
</t>
  </si>
  <si>
    <t>Traceback (most recent call last):
  File "/usr/local/lib/python3.12/unittest/mock.py", line 1396, in patched
    return func(*newargs, **newkeywargs)
           ^^^^^^^^^^^^^^^^^^^^^^^^^^^^^
  File "/workspace/tests/test1251.py", line 32, in test_check_pkg_imports_subprocess_and_sys
    base_module._check_pkg("bogus_package")
  File "/workspace/gpt_researcher/llm_provider/generic/base.py", line 198, in _check_pkg
    importlib.import_module(pkg)
  File "/usr/local/lib/python3.12/importlib/__init__.py", line 90, in import_module
    return _bootstrap._gcd_import(name[level:], package, level)
           ^^^^^^^^^^^^^^^^^^^^^^^^^^^^^^^^^^^^^^^^^^^^^^^^^^^^
  File "&lt;frozen importlib._bootstrap&gt;", line 1387, in _gcd_import
  File "&lt;frozen importlib._bootstrap&gt;", line 1360, in _find_and_load
  File "&lt;frozen importlib._bootstrap&gt;", line 1324, in _find_and_load_unlocked
ModuleNotFoundError: No module named 'bogus_package'</t>
  </si>
  <si>
    <t>AssertionError: 'name' unexpectedly found in {'role': 'tool', 'tool_call_id': 'call_1YWzmz9ADEH5aHeSyjBuvO5k', 'content': "{'currency': 'USD', 'amount': 123.45}", 'name': 'currency_calculator'} : BUG: Response includes an unsupported 'name' field, violating OpenAPI spec.</t>
  </si>
  <si>
    <t xml:space="preserve">--------------------
  37 |     RUN pip install hatch
  38 |     # Install project (including deps specified in pyproject), hatch will build/install per pyproject.toml
  39 | &gt;&gt;&gt; RUN hatch build &amp;&amp; pip install dist/*.whl
  40 |     
  41 |     # Install test/development dependencies from pyproject.toml, if defined
--------------------
ERROR: failed to solve: process "/bin/sh -c hatch build &amp;&amp; pip install dist/*.whl" did not complete successfully: exit code: 1
</t>
  </si>
  <si>
    <t>A</t>
  </si>
  <si>
    <t>B</t>
  </si>
  <si>
    <t>C</t>
  </si>
  <si>
    <t>AB</t>
  </si>
  <si>
    <t>AgentBug-Smith &amp; SWE-Factory</t>
  </si>
  <si>
    <t>AC</t>
  </si>
  <si>
    <t>AgentBug-Smith &amp; SWE-bench-Live</t>
  </si>
  <si>
    <t>BC</t>
  </si>
  <si>
    <t>SWE-Factory &amp; SWE-bench-Live</t>
  </si>
  <si>
    <t>ABC</t>
  </si>
  <si>
    <t>All</t>
  </si>
  <si>
    <t>Temporary Issue Creation</t>
  </si>
  <si>
    <t>Traceback (most recent call last):
  File "/workspace/tests/test1330.py", line 44, in test_openai_version_sufficient
    self.assertIsNone(result)
AssertionError: "'openai' is installed, but the installed version 1.100.1 is too low (required 'openai&gt;=1.66.2')." is not None</t>
  </si>
  <si>
    <t xml:space="preserve">Buggy version test: ✗ Unexpectedly passed
Fixed version test: ✓ Passed as expected
Patch verified: custom converter_cls fixes nested JSON bug.
</t>
  </si>
  <si>
    <t>Docker build</t>
  </si>
  <si>
    <t>To-do:</t>
  </si>
  <si>
    <t>1. RQ and experiment settings, and benchmark metrics</t>
  </si>
  <si>
    <t>2. Modified codes and ensure the issue filtering (improving the succesfull pipeline and improving the number)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</si>
</sst>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dd/mm/yyyy"/>
  </numFmts>
  <fonts count="33">
    <font>
      <sz val="10.0"/>
      <color rgb="FF000000"/>
      <name val="Arial"/>
      <scheme val="minor"/>
    </font>
    <font>
      <b/>
      <sz val="20.0"/>
      <color theme="1"/>
      <name val="Arial"/>
      <scheme val="minor"/>
    </font>
    <font>
      <color theme="1"/>
      <name val="Arial"/>
      <scheme val="minor"/>
    </font>
    <font>
      <b/>
      <color theme="1"/>
      <name val="Arial"/>
      <scheme val="minor"/>
    </font>
    <font>
      <u/>
      <color rgb="FF0000FF"/>
    </font>
    <font>
      <u/>
      <color rgb="FF0000FF"/>
    </font>
    <font>
      <sz val="11.0"/>
      <color rgb="FF000000"/>
      <name val="Calibri"/>
    </font>
    <font>
      <u/>
      <sz val="11.0"/>
      <color rgb="FF000000"/>
      <name val="Calibri"/>
    </font>
    <font>
      <u/>
      <color rgb="FF434343"/>
      <name val="Arial"/>
      <scheme val="minor"/>
    </font>
    <font>
      <u/>
      <color rgb="FF434343"/>
    </font>
    <font>
      <u/>
      <color rgb="FF434343"/>
    </font>
    <font>
      <color rgb="FF434343"/>
      <name val="Roboto"/>
    </font>
    <font>
      <u/>
      <color rgb="FF434343"/>
      <name val="Roboto"/>
    </font>
    <font>
      <u/>
      <color rgb="FF434343"/>
      <name val="Roboto"/>
    </font>
    <font>
      <u/>
      <color rgb="FF434343"/>
      <name val="Roboto"/>
    </font>
    <font>
      <b/>
      <color rgb="FF434343"/>
      <name val="Roboto"/>
    </font>
    <font>
      <color theme="1"/>
      <name val="Arial"/>
    </font>
    <font>
      <b/>
      <color theme="1"/>
      <name val="Arial"/>
    </font>
    <font>
      <u/>
      <color rgb="FF434343"/>
      <name val="Roboto"/>
    </font>
    <font>
      <u/>
      <color rgb="FF434343"/>
    </font>
    <font>
      <b/>
      <sz val="14.0"/>
      <color theme="1"/>
      <name val="Arial"/>
      <scheme val="minor"/>
    </font>
    <font>
      <sz val="11.0"/>
      <color rgb="FF000000"/>
      <name val="Arial"/>
    </font>
    <font>
      <sz val="12.0"/>
      <color rgb="FF0A0A0A"/>
      <name val="Arial"/>
    </font>
    <font>
      <b/>
      <color theme="1"/>
      <name val="Roboto"/>
    </font>
    <font>
      <color rgb="FF2C481F"/>
      <name val="Roboto"/>
    </font>
    <font>
      <color rgb="FF4C535E"/>
      <name val="Roboto"/>
    </font>
    <font>
      <color rgb="FF3E4186"/>
      <name val="Roboto"/>
    </font>
    <font>
      <sz val="10.0"/>
      <color theme="1"/>
      <name val="Arial"/>
    </font>
    <font>
      <color rgb="FF000000"/>
      <name val="Arial"/>
    </font>
    <font>
      <color rgb="FF383A3C"/>
      <name val="Roboto"/>
    </font>
    <font>
      <color rgb="FF2A3243"/>
      <name val="Roboto"/>
    </font>
    <font>
      <b/>
      <sz val="10.0"/>
      <color rgb="FF000000"/>
      <name val="Arial"/>
    </font>
    <font>
      <sz val="10.0"/>
      <color rgb="FF000000"/>
      <name val="Arial"/>
    </font>
  </fonts>
  <fills count="21">
    <fill>
      <patternFill patternType="none"/>
    </fill>
    <fill>
      <patternFill patternType="lightGray"/>
    </fill>
    <fill>
      <patternFill patternType="solid">
        <fgColor rgb="FF9FC5E8"/>
        <bgColor rgb="FF9FC5E8"/>
      </patternFill>
    </fill>
    <fill>
      <patternFill patternType="solid">
        <fgColor rgb="FFD9EAD3"/>
        <bgColor rgb="FFD9EAD3"/>
      </patternFill>
    </fill>
    <fill>
      <patternFill patternType="solid">
        <fgColor theme="0"/>
        <bgColor theme="0"/>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F6F8F9"/>
        <bgColor rgb="FFF6F8F9"/>
      </patternFill>
    </fill>
    <fill>
      <patternFill patternType="solid">
        <fgColor rgb="FFD9D2E9"/>
        <bgColor rgb="FFD9D2E9"/>
      </patternFill>
    </fill>
    <fill>
      <patternFill patternType="solid">
        <fgColor rgb="FFFCE5CD"/>
        <bgColor rgb="FFFCE5CD"/>
      </patternFill>
    </fill>
    <fill>
      <patternFill patternType="solid">
        <fgColor rgb="FF000000"/>
        <bgColor rgb="FF000000"/>
      </patternFill>
    </fill>
    <fill>
      <patternFill patternType="solid">
        <fgColor rgb="FFCFE2F3"/>
        <bgColor rgb="FFCFE2F3"/>
      </patternFill>
    </fill>
    <fill>
      <patternFill patternType="solid">
        <fgColor rgb="FFD0E0E3"/>
        <bgColor rgb="FFD0E0E3"/>
      </patternFill>
    </fill>
    <fill>
      <patternFill patternType="solid">
        <fgColor rgb="FFE6B8AF"/>
        <bgColor rgb="FFE6B8AF"/>
      </patternFill>
    </fill>
    <fill>
      <patternFill patternType="solid">
        <fgColor rgb="FFFFE599"/>
        <bgColor rgb="FFFFE599"/>
      </patternFill>
    </fill>
    <fill>
      <patternFill patternType="solid">
        <fgColor rgb="FFD9D9D9"/>
        <bgColor rgb="FFD9D9D9"/>
      </patternFill>
    </fill>
    <fill>
      <patternFill patternType="solid">
        <fgColor rgb="FFB6D7A8"/>
        <bgColor rgb="FFB6D7A8"/>
      </patternFill>
    </fill>
    <fill>
      <patternFill patternType="solid">
        <fgColor rgb="FFEA9999"/>
        <bgColor rgb="FFEA9999"/>
      </patternFill>
    </fill>
    <fill>
      <patternFill patternType="solid">
        <fgColor rgb="FFFF0000"/>
        <bgColor rgb="FFFF0000"/>
      </patternFill>
    </fill>
    <fill>
      <patternFill patternType="solid">
        <fgColor rgb="FFC9DAF8"/>
        <bgColor rgb="FFC9DAF8"/>
      </patternFill>
    </fill>
  </fills>
  <borders count="19">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2" numFmtId="0" xfId="0" applyFill="1" applyFont="1"/>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shrinkToFit="0" wrapText="1"/>
    </xf>
    <xf borderId="0" fillId="0" fontId="6" numFmtId="0" xfId="0" applyAlignment="1" applyFont="1">
      <alignment horizontal="right" readingOrder="0" shrinkToFit="0" vertical="bottom" wrapText="0"/>
    </xf>
    <xf borderId="0" fillId="0" fontId="7" numFmtId="0" xfId="0" applyAlignment="1" applyFont="1">
      <alignment readingOrder="0" shrinkToFit="0" vertical="bottom" wrapText="0"/>
    </xf>
    <xf borderId="0" fillId="0" fontId="3" numFmtId="0" xfId="0" applyAlignment="1" applyFont="1">
      <alignment horizontal="center" readingOrder="0"/>
    </xf>
    <xf borderId="0" fillId="0" fontId="2" numFmtId="0" xfId="0" applyAlignment="1" applyFont="1">
      <alignment horizontal="center" readingOrder="0"/>
    </xf>
    <xf borderId="0" fillId="0" fontId="2" numFmtId="0" xfId="0" applyFont="1"/>
    <xf borderId="0" fillId="0" fontId="2" numFmtId="164" xfId="0" applyAlignment="1" applyFont="1" applyNumberFormat="1">
      <alignment shrinkToFit="0" wrapText="1"/>
    </xf>
    <xf borderId="0" fillId="0" fontId="2" numFmtId="3" xfId="0" applyAlignment="1" applyFont="1" applyNumberForma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3" xfId="0" applyAlignment="1" applyFont="1" applyNumberFormat="1">
      <alignment shrinkToFit="0" wrapText="1"/>
    </xf>
    <xf borderId="0" fillId="0" fontId="2" numFmtId="164" xfId="0" applyAlignment="1" applyFont="1" applyNumberFormat="1">
      <alignment shrinkToFit="0" vertical="center" wrapText="1"/>
    </xf>
    <xf borderId="0" fillId="0" fontId="8" numFmtId="0" xfId="0" applyAlignment="1" applyFont="1">
      <alignment readingOrder="0" shrinkToFit="0" wrapText="1"/>
    </xf>
    <xf borderId="0" fillId="0" fontId="2" numFmtId="3"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3" xfId="0" applyAlignment="1" applyFont="1" applyNumberFormat="1">
      <alignment readingOrder="0" shrinkToFit="0" vertical="center" wrapText="1"/>
    </xf>
    <xf borderId="0" fillId="0" fontId="2" numFmtId="3" xfId="0" applyAlignment="1" applyFont="1" applyNumberFormat="1">
      <alignment readingOrder="0"/>
    </xf>
    <xf borderId="0" fillId="3" fontId="3" numFmtId="0" xfId="0" applyAlignment="1" applyFill="1" applyFont="1">
      <alignment readingOrder="0"/>
    </xf>
    <xf borderId="0" fillId="3" fontId="2" numFmtId="0" xfId="0" applyFill="1" applyFont="1"/>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5" fontId="2" numFmtId="0" xfId="0" applyAlignment="1" applyFill="1" applyFont="1">
      <alignment readingOrder="0" shrinkToFit="0" wrapText="1"/>
    </xf>
    <xf borderId="0" fillId="7" fontId="9" numFmtId="0" xfId="0" applyAlignment="1" applyFill="1" applyFont="1">
      <alignment readingOrder="0" shrinkToFit="0" wrapText="1"/>
    </xf>
    <xf borderId="0" fillId="7" fontId="2" numFmtId="0" xfId="0" applyAlignment="1" applyFill="1" applyFont="1">
      <alignment horizontal="left" readingOrder="0" shrinkToFit="0" wrapText="1"/>
    </xf>
    <xf borderId="0" fillId="7" fontId="2" numFmtId="0" xfId="0" applyAlignment="1" applyFill="1" applyFont="1">
      <alignment readingOrder="0" shrinkToFit="0" wrapText="1"/>
    </xf>
    <xf borderId="0" fillId="8" fontId="10" numFmtId="0" xfId="0" applyAlignment="1" applyFill="1" applyFont="1">
      <alignment readingOrder="0" shrinkToFit="0" wrapText="1"/>
    </xf>
    <xf borderId="0" fillId="8" fontId="2" numFmtId="0" xfId="0" applyAlignment="1" applyFill="1" applyFont="1">
      <alignment readingOrder="0" shrinkToFit="0" wrapText="1"/>
    </xf>
    <xf borderId="0" fillId="0" fontId="2" numFmtId="3" xfId="0" applyAlignment="1" applyFont="1" applyNumberFormat="1">
      <alignment shrinkToFit="0" vertical="center" wrapText="1"/>
    </xf>
    <xf borderId="1" fillId="6" fontId="11" numFmtId="0" xfId="0" applyAlignment="1" applyBorder="1" applyFill="1" applyFont="1">
      <alignment shrinkToFit="0" wrapText="1"/>
    </xf>
    <xf borderId="1" fillId="7" fontId="12" numFmtId="0" xfId="0" applyAlignment="1" applyBorder="1" applyFill="1" applyFont="1">
      <alignment readingOrder="0" shrinkToFit="0" wrapText="1"/>
    </xf>
    <xf borderId="1" fillId="7" fontId="11" numFmtId="0" xfId="0" applyAlignment="1" applyBorder="1" applyFill="1" applyFont="1">
      <alignment shrinkToFit="0" wrapText="1"/>
    </xf>
    <xf borderId="2" fillId="6" fontId="11" numFmtId="0" xfId="0" applyAlignment="1" applyBorder="1" applyFill="1" applyFont="1">
      <alignment shrinkToFit="0" wrapText="1"/>
    </xf>
    <xf borderId="0" fillId="0" fontId="2" numFmtId="3" xfId="0" applyAlignment="1" applyFont="1" applyNumberFormat="1">
      <alignment readingOrder="0" shrinkToFit="0" vertical="center" wrapText="0"/>
    </xf>
    <xf borderId="2" fillId="8" fontId="13" numFmtId="0" xfId="0" applyAlignment="1" applyBorder="1" applyFill="1" applyFont="1">
      <alignment readingOrder="0" shrinkToFit="0" wrapText="1"/>
    </xf>
    <xf borderId="2" fillId="8" fontId="11" numFmtId="0" xfId="0" applyAlignment="1" applyBorder="1" applyFill="1" applyFont="1">
      <alignment shrinkToFit="0" wrapText="1"/>
    </xf>
    <xf borderId="1" fillId="7" fontId="11" numFmtId="0" xfId="0" applyAlignment="1" applyBorder="1" applyFill="1" applyFont="1">
      <alignment horizontal="left" readingOrder="0" shrinkToFit="0" wrapText="1"/>
    </xf>
    <xf borderId="0" fillId="0" fontId="2" numFmtId="0" xfId="0" applyAlignment="1" applyFont="1">
      <alignment readingOrder="0" shrinkToFit="0" wrapText="0"/>
    </xf>
    <xf borderId="2" fillId="8" fontId="14" numFmtId="0" xfId="0" applyAlignment="1" applyBorder="1" applyFill="1" applyFont="1">
      <alignment shrinkToFit="0" wrapText="1"/>
    </xf>
    <xf borderId="0" fillId="0" fontId="2" numFmtId="10" xfId="0" applyFont="1" applyNumberFormat="1"/>
    <xf borderId="0" fillId="7" fontId="15" numFmtId="0" xfId="0" applyAlignment="1" applyFill="1" applyFont="1">
      <alignment horizontal="right" readingOrder="0" shrinkToFit="0" wrapText="1"/>
    </xf>
    <xf borderId="0" fillId="7" fontId="3" numFmtId="0" xfId="0" applyAlignment="1" applyFill="1" applyFont="1">
      <alignment readingOrder="0" shrinkToFit="0" wrapText="1"/>
    </xf>
    <xf borderId="0" fillId="0" fontId="3" numFmtId="0" xfId="0" applyAlignment="1" applyFont="1">
      <alignment readingOrder="0" shrinkToFit="0" wrapText="1"/>
    </xf>
    <xf borderId="0" fillId="9" fontId="3" numFmtId="0" xfId="0" applyAlignment="1" applyFill="1" applyFont="1">
      <alignment readingOrder="0"/>
    </xf>
    <xf borderId="0" fillId="9" fontId="2" numFmtId="0" xfId="0" applyFill="1" applyFont="1"/>
    <xf borderId="0" fillId="0" fontId="3" numFmtId="0" xfId="0" applyAlignment="1" applyFont="1">
      <alignment horizontal="right" readingOrder="0"/>
    </xf>
    <xf borderId="0" fillId="10" fontId="3" numFmtId="0" xfId="0" applyAlignment="1" applyFill="1" applyFont="1">
      <alignment readingOrder="0"/>
    </xf>
    <xf borderId="0" fillId="10" fontId="2" numFmtId="0" xfId="0" applyFill="1" applyFont="1"/>
    <xf borderId="2" fillId="4" fontId="11" numFmtId="0" xfId="0" applyAlignment="1" applyBorder="1" applyFill="1" applyFont="1">
      <alignment shrinkToFit="0" wrapText="1"/>
    </xf>
    <xf borderId="0" fillId="4" fontId="2" numFmtId="0" xfId="0" applyAlignment="1" applyFill="1" applyFont="1">
      <alignment readingOrder="0" shrinkToFit="0" wrapText="1"/>
    </xf>
    <xf borderId="1" fillId="4" fontId="11" numFmtId="0" xfId="0" applyAlignment="1" applyBorder="1" applyFill="1" applyFont="1">
      <alignment shrinkToFit="0" wrapText="1"/>
    </xf>
    <xf borderId="0" fillId="0" fontId="3" numFmtId="0" xfId="0" applyFont="1"/>
    <xf borderId="0" fillId="5" fontId="3" numFmtId="0" xfId="0" applyAlignment="1" applyFill="1" applyFont="1">
      <alignment readingOrder="0"/>
    </xf>
    <xf borderId="0" fillId="5" fontId="2" numFmtId="0" xfId="0" applyFill="1" applyFont="1"/>
    <xf borderId="0" fillId="11" fontId="2" numFmtId="0" xfId="0" applyFill="1" applyFont="1"/>
    <xf borderId="0" fillId="12" fontId="3" numFmtId="0" xfId="0" applyAlignment="1" applyFill="1" applyFont="1">
      <alignment readingOrder="0"/>
    </xf>
    <xf borderId="0" fillId="12" fontId="2" numFmtId="0" xfId="0" applyFill="1" applyFont="1"/>
    <xf borderId="0" fillId="0" fontId="16" numFmtId="0" xfId="0" applyAlignment="1" applyFont="1">
      <alignment shrinkToFit="0" vertical="bottom" wrapText="1"/>
    </xf>
    <xf borderId="0" fillId="0" fontId="17" numFmtId="0" xfId="0" applyAlignment="1" applyFont="1">
      <alignment readingOrder="0" shrinkToFit="0" vertical="bottom" wrapText="1"/>
    </xf>
    <xf borderId="0" fillId="0" fontId="16" numFmtId="0" xfId="0" applyAlignment="1" applyFont="1">
      <alignment horizontal="right" vertical="bottom"/>
    </xf>
    <xf borderId="0" fillId="0" fontId="16" numFmtId="0" xfId="0" applyAlignment="1" applyFont="1">
      <alignment horizontal="right" vertical="bottom"/>
    </xf>
    <xf borderId="0" fillId="0" fontId="2" numFmtId="10" xfId="0" applyAlignment="1" applyFont="1" applyNumberFormat="1">
      <alignment readingOrder="0"/>
    </xf>
    <xf borderId="0" fillId="13" fontId="3" numFmtId="0" xfId="0" applyAlignment="1" applyFill="1" applyFont="1">
      <alignment readingOrder="0"/>
    </xf>
    <xf borderId="0" fillId="13" fontId="2" numFmtId="0" xfId="0" applyFill="1" applyFont="1"/>
    <xf borderId="0" fillId="0" fontId="16" numFmtId="10" xfId="0" applyAlignment="1" applyFont="1" applyNumberFormat="1">
      <alignment horizontal="right" vertical="bottom"/>
    </xf>
    <xf borderId="0" fillId="14" fontId="3" numFmtId="0" xfId="0" applyAlignment="1" applyFill="1" applyFont="1">
      <alignment readingOrder="0"/>
    </xf>
    <xf borderId="0" fillId="14" fontId="2" numFmtId="0" xfId="0" applyFill="1" applyFont="1"/>
    <xf borderId="0" fillId="0" fontId="17" numFmtId="0" xfId="0" applyAlignment="1" applyFont="1">
      <alignment shrinkToFit="0" vertical="bottom" wrapText="1"/>
    </xf>
    <xf borderId="0" fillId="0" fontId="3" numFmtId="0" xfId="0" applyAlignment="1" applyFont="1">
      <alignment horizontal="right" readingOrder="0" shrinkToFit="0" wrapText="1"/>
    </xf>
    <xf borderId="0" fillId="0" fontId="16" numFmtId="0" xfId="0" applyAlignment="1" applyFont="1">
      <alignment vertical="bottom"/>
    </xf>
    <xf borderId="0" fillId="5" fontId="2" numFmtId="0" xfId="0" applyAlignment="1" applyFill="1" applyFont="1">
      <alignment readingOrder="0" shrinkToFit="0" wrapText="0"/>
    </xf>
    <xf borderId="0" fillId="3" fontId="2" numFmtId="0" xfId="0" applyAlignment="1" applyFill="1" applyFont="1">
      <alignment readingOrder="0" shrinkToFit="0" wrapText="1"/>
    </xf>
    <xf borderId="0" fillId="15" fontId="2" numFmtId="0" xfId="0" applyAlignment="1" applyFill="1" applyFont="1">
      <alignment readingOrder="0" shrinkToFit="0" wrapText="1"/>
    </xf>
    <xf borderId="0" fillId="12" fontId="2" numFmtId="0" xfId="0" applyAlignment="1" applyFill="1" applyFont="1">
      <alignment readingOrder="0" shrinkToFit="0" wrapText="1"/>
    </xf>
    <xf borderId="0" fillId="3" fontId="2" numFmtId="0" xfId="0" applyAlignment="1" applyFill="1" applyFont="1">
      <alignment readingOrder="0"/>
    </xf>
    <xf borderId="0" fillId="12" fontId="2" numFmtId="0" xfId="0" applyAlignment="1" applyFill="1" applyFont="1">
      <alignment readingOrder="0"/>
    </xf>
    <xf borderId="0" fillId="0" fontId="3" numFmtId="0" xfId="0" applyAlignment="1" applyFont="1">
      <alignment horizontal="center" readingOrder="0" shrinkToFit="0" wrapText="1"/>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0" fillId="16" fontId="3" numFmtId="49" xfId="0" applyAlignment="1" applyFill="1" applyFont="1" applyNumberFormat="1">
      <alignment horizontal="left" readingOrder="0" shrinkToFit="0" vertical="center" wrapText="1"/>
    </xf>
    <xf borderId="0" fillId="16" fontId="3" numFmtId="0" xfId="0" applyAlignment="1" applyFill="1" applyFont="1">
      <alignment horizontal="left" readingOrder="0" shrinkToFit="0" vertical="center" wrapText="1"/>
    </xf>
    <xf borderId="0" fillId="0" fontId="18"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16" fontId="3" numFmtId="49" xfId="0" applyAlignment="1" applyFill="1" applyFont="1" applyNumberFormat="1">
      <alignment horizontal="left" readingOrder="0" shrinkToFit="0" vertical="center" wrapText="1"/>
    </xf>
    <xf borderId="0" fillId="16"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3" fontId="2" numFmtId="0" xfId="0" applyAlignment="1" applyFill="1" applyFont="1">
      <alignment shrinkToFit="0" vertical="center" wrapText="1"/>
    </xf>
    <xf borderId="0" fillId="3" fontId="3" numFmtId="0" xfId="0" applyAlignment="1" applyFill="1" applyFont="1">
      <alignment horizontal="right" readingOrder="0" shrinkToFit="0" vertical="center" wrapText="1"/>
    </xf>
    <xf borderId="0" fillId="3" fontId="2" numFmtId="0" xfId="0" applyAlignment="1" applyFill="1" applyFont="1">
      <alignment horizontal="center" shrinkToFit="0" vertical="center" wrapText="1"/>
    </xf>
    <xf borderId="0" fillId="16" fontId="2"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0" fontId="19" numFmtId="0" xfId="0" applyAlignment="1" applyFont="1">
      <alignment readingOrder="0" shrinkToFit="0" wrapText="1"/>
    </xf>
    <xf borderId="0" fillId="0" fontId="3" numFmtId="0" xfId="0" applyAlignment="1" applyFont="1">
      <alignment horizontal="righ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3" fontId="2" numFmtId="0" xfId="0" applyAlignment="1" applyFill="1" applyFont="1">
      <alignment shrinkToFit="0" vertical="center" wrapText="0"/>
    </xf>
    <xf borderId="0" fillId="3" fontId="3" numFmtId="0" xfId="0" applyAlignment="1" applyFill="1" applyFont="1">
      <alignment horizontal="righ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xf>
    <xf borderId="0" fillId="0" fontId="2" numFmtId="0" xfId="0" applyAlignment="1" applyFont="1">
      <alignment readingOrder="0"/>
    </xf>
    <xf borderId="0" fillId="0" fontId="20" numFmtId="0" xfId="0" applyAlignment="1" applyFont="1">
      <alignment readingOrder="0"/>
    </xf>
    <xf borderId="0" fillId="17" fontId="2" numFmtId="0" xfId="0" applyAlignment="1" applyFill="1" applyFont="1">
      <alignment readingOrder="0" shrinkToFit="0" vertical="center" wrapText="1"/>
    </xf>
    <xf borderId="3" fillId="0" fontId="3" numFmtId="0" xfId="0" applyAlignment="1" applyBorder="1" applyFont="1">
      <alignment readingOrder="0" shrinkToFit="0" wrapText="1"/>
    </xf>
    <xf borderId="3" fillId="0" fontId="3" numFmtId="0" xfId="0" applyAlignment="1" applyBorder="1" applyFont="1">
      <alignment horizontal="center" readingOrder="0" shrinkToFit="0" wrapText="1"/>
    </xf>
    <xf borderId="0" fillId="17" fontId="2" numFmtId="0" xfId="0" applyAlignment="1" applyFill="1" applyFont="1">
      <alignment readingOrder="0"/>
    </xf>
    <xf borderId="0" fillId="18" fontId="2" numFmtId="0" xfId="0" applyAlignment="1" applyFill="1" applyFont="1">
      <alignment readingOrder="0"/>
    </xf>
    <xf borderId="0" fillId="3" fontId="2" numFmtId="0" xfId="0" applyAlignment="1" applyFill="1" applyFont="1">
      <alignment readingOrder="0" shrinkToFit="0" vertical="center" wrapText="1"/>
    </xf>
    <xf borderId="4" fillId="0" fontId="2" numFmtId="0" xfId="0" applyAlignment="1" applyBorder="1" applyFont="1">
      <alignment shrinkToFit="0" wrapText="1"/>
    </xf>
    <xf borderId="4" fillId="0" fontId="2" numFmtId="0" xfId="0" applyAlignment="1" applyBorder="1" applyFont="1">
      <alignment readingOrder="0" shrinkToFit="0" wrapText="1"/>
    </xf>
    <xf borderId="5" fillId="4" fontId="2" numFmtId="0" xfId="0" applyAlignment="1" applyBorder="1" applyFill="1" applyFont="1">
      <alignment readingOrder="0" shrinkToFit="0" wrapText="1"/>
    </xf>
    <xf borderId="5" fillId="4" fontId="2" numFmtId="0" xfId="0" applyBorder="1" applyFill="1" applyFont="1"/>
    <xf borderId="6" fillId="4" fontId="2" numFmtId="0" xfId="0" applyBorder="1" applyFill="1" applyFont="1"/>
    <xf borderId="7" fillId="0" fontId="2" numFmtId="0" xfId="0" applyAlignment="1" applyBorder="1" applyFont="1">
      <alignment shrinkToFit="0" wrapText="1"/>
    </xf>
    <xf borderId="7" fillId="0" fontId="2" numFmtId="0" xfId="0" applyAlignment="1" applyBorder="1" applyFont="1">
      <alignment readingOrder="0" shrinkToFit="0" wrapText="1"/>
    </xf>
    <xf borderId="0" fillId="4" fontId="2" numFmtId="0" xfId="0" applyFill="1" applyFont="1"/>
    <xf borderId="8" fillId="4" fontId="2" numFmtId="0" xfId="0" applyBorder="1" applyFill="1" applyFont="1"/>
    <xf borderId="8" fillId="4" fontId="2" numFmtId="0" xfId="0" applyAlignment="1" applyBorder="1" applyFill="1" applyFont="1">
      <alignment shrinkToFit="0" wrapText="1"/>
    </xf>
    <xf borderId="8" fillId="4" fontId="2" numFmtId="0" xfId="0" applyAlignment="1" applyBorder="1" applyFill="1" applyFont="1">
      <alignment readingOrder="0" shrinkToFit="0" wrapText="1"/>
    </xf>
    <xf borderId="2" fillId="8" fontId="11" numFmtId="0" xfId="0" applyAlignment="1" applyBorder="1" applyFill="1" applyFont="1">
      <alignment shrinkToFit="0" wrapText="1"/>
    </xf>
    <xf borderId="2" fillId="8" fontId="11" numFmtId="0" xfId="0" applyAlignment="1" applyBorder="1" applyFill="1" applyFont="1">
      <alignment horizontal="right" shrinkToFit="0" wrapText="0"/>
    </xf>
    <xf borderId="2" fillId="8" fontId="11" numFmtId="0" xfId="0" applyAlignment="1" applyBorder="1" applyFill="1" applyFont="1">
      <alignment horizontal="right" readingOrder="0" shrinkToFit="0" wrapText="0"/>
    </xf>
    <xf borderId="0" fillId="8" fontId="11" numFmtId="0" xfId="0" applyAlignment="1" applyFill="1" applyFont="1">
      <alignment horizontal="right" readingOrder="0" shrinkToFit="0" wrapText="0"/>
    </xf>
    <xf borderId="0" fillId="8" fontId="11" numFmtId="0" xfId="0" applyAlignment="1" applyFill="1" applyFont="1">
      <alignment horizontal="right" readingOrder="0" shrinkToFit="0" wrapText="0"/>
    </xf>
    <xf borderId="0" fillId="0" fontId="21" numFmtId="0" xfId="0" applyAlignment="1" applyFont="1">
      <alignment readingOrder="0"/>
    </xf>
    <xf borderId="0" fillId="19" fontId="2" numFmtId="0" xfId="0" applyAlignment="1" applyFill="1" applyFont="1">
      <alignment readingOrder="0"/>
    </xf>
    <xf borderId="0" fillId="15" fontId="11" numFmtId="0" xfId="0" applyAlignment="1" applyFill="1" applyFont="1">
      <alignment readingOrder="0" shrinkToFit="0" wrapText="1"/>
    </xf>
    <xf borderId="0" fillId="15" fontId="11" numFmtId="0" xfId="0" applyAlignment="1" applyFill="1" applyFont="1">
      <alignment horizontal="right" readingOrder="0" shrinkToFit="0" wrapText="0"/>
    </xf>
    <xf borderId="0" fillId="15" fontId="11" numFmtId="0" xfId="0" applyAlignment="1" applyFill="1" applyFont="1">
      <alignment horizontal="right" readingOrder="0" shrinkToFit="0" wrapText="0"/>
    </xf>
    <xf borderId="0" fillId="15" fontId="11" numFmtId="0" xfId="0" applyAlignment="1" applyFill="1" applyFont="1">
      <alignment horizontal="right" readingOrder="0" shrinkToFit="0" wrapText="0"/>
    </xf>
    <xf borderId="0" fillId="15" fontId="11" numFmtId="0" xfId="0" applyAlignment="1" applyFill="1" applyFont="1">
      <alignment horizontal="right" readingOrder="0" shrinkToFit="0" wrapText="0"/>
    </xf>
    <xf borderId="0" fillId="0" fontId="11" numFmtId="0" xfId="0" applyAlignment="1" applyFont="1">
      <alignment horizontal="right" readingOrder="0" shrinkToFit="0" wrapText="0"/>
    </xf>
    <xf borderId="0" fillId="0" fontId="11" numFmtId="0" xfId="0" applyAlignment="1" applyFont="1">
      <alignment horizontal="right" readingOrder="0" shrinkToFit="0" wrapText="0"/>
    </xf>
    <xf borderId="7" fillId="0" fontId="2" numFmtId="0" xfId="0" applyAlignment="1" applyBorder="1" applyFont="1">
      <alignment readingOrder="0"/>
    </xf>
    <xf borderId="0" fillId="0" fontId="11" numFmtId="0" xfId="0" applyAlignment="1" applyFont="1">
      <alignment horizontal="right" readingOrder="0" shrinkToFit="0" wrapText="0"/>
    </xf>
    <xf borderId="0" fillId="20" fontId="11" numFmtId="0" xfId="0" applyAlignment="1" applyFill="1" applyFont="1">
      <alignment horizontal="right" readingOrder="0" shrinkToFit="0" wrapText="0"/>
    </xf>
    <xf borderId="9" fillId="0" fontId="2" numFmtId="0" xfId="0" applyAlignment="1" applyBorder="1" applyFont="1">
      <alignment readingOrder="0"/>
    </xf>
    <xf borderId="10" fillId="4" fontId="2" numFmtId="0" xfId="0" applyBorder="1" applyFill="1" applyFont="1"/>
    <xf borderId="11" fillId="4" fontId="2" numFmtId="0" xfId="0" applyAlignment="1" applyBorder="1" applyFill="1" applyFont="1">
      <alignment readingOrder="0" shrinkToFit="0" wrapText="1"/>
    </xf>
    <xf borderId="0" fillId="12" fontId="11" numFmtId="0" xfId="0" applyAlignment="1" applyFill="1" applyFont="1">
      <alignment horizontal="right" readingOrder="0" shrinkToFit="0" wrapText="0"/>
    </xf>
    <xf borderId="0" fillId="15" fontId="2" numFmtId="0" xfId="0" applyAlignment="1" applyFill="1" applyFont="1">
      <alignment readingOrder="0"/>
    </xf>
    <xf borderId="0" fillId="8" fontId="11" numFmtId="0" xfId="0" applyAlignment="1" applyFill="1" applyFont="1">
      <alignment readingOrder="0" shrinkToFit="0" wrapText="1"/>
    </xf>
    <xf borderId="0" fillId="7" fontId="22" numFmtId="0" xfId="0" applyAlignment="1" applyFill="1" applyFont="1">
      <alignment readingOrder="0"/>
    </xf>
    <xf borderId="0" fillId="8" fontId="11" numFmtId="0" xfId="0" applyAlignment="1" applyFill="1" applyFont="1">
      <alignment shrinkToFit="0" vertical="bottom" wrapText="1"/>
    </xf>
    <xf borderId="0" fillId="8" fontId="11" numFmtId="0" xfId="0" applyAlignment="1" applyFill="1" applyFont="1">
      <alignment horizontal="right" readingOrder="0" shrinkToFit="0" vertical="bottom" wrapText="0"/>
    </xf>
    <xf borderId="2" fillId="8" fontId="11" numFmtId="0" xfId="0" applyAlignment="1" applyBorder="1" applyFill="1" applyFont="1">
      <alignment horizontal="right" shrinkToFit="0" vertical="bottom" wrapText="0"/>
    </xf>
    <xf borderId="0" fillId="8" fontId="11" numFmtId="0" xfId="0" applyAlignment="1" applyFill="1" applyFont="1">
      <alignment readingOrder="0" shrinkToFit="0" vertical="bottom" wrapText="1"/>
    </xf>
    <xf quotePrefix="1" borderId="0" fillId="0" fontId="3" numFmtId="0" xfId="0" applyAlignment="1" applyFont="1">
      <alignment readingOrder="0"/>
    </xf>
    <xf borderId="4" fillId="0" fontId="2" numFmtId="0" xfId="0" applyBorder="1" applyFont="1"/>
    <xf borderId="6" fillId="0" fontId="2" numFmtId="0" xfId="0" applyAlignment="1" applyBorder="1" applyFont="1">
      <alignment readingOrder="0"/>
    </xf>
    <xf borderId="5" fillId="0" fontId="2" numFmtId="0" xfId="0" applyAlignment="1" applyBorder="1" applyFont="1">
      <alignment readingOrder="0"/>
    </xf>
    <xf borderId="5" fillId="0" fontId="2" numFmtId="0" xfId="0" applyBorder="1" applyFont="1"/>
    <xf borderId="6" fillId="0" fontId="2" numFmtId="0" xfId="0" applyBorder="1" applyFont="1"/>
    <xf borderId="7" fillId="0" fontId="2" numFmtId="0" xfId="0" applyBorder="1" applyFont="1"/>
    <xf borderId="8" fillId="0" fontId="2" numFmtId="0" xfId="0" applyAlignment="1" applyBorder="1" applyFont="1">
      <alignment readingOrder="0"/>
    </xf>
    <xf borderId="8" fillId="0" fontId="2" numFmtId="0" xfId="0" applyBorder="1" applyFont="1"/>
    <xf borderId="11" fillId="0" fontId="2" numFmtId="0" xfId="0" applyAlignment="1" applyBorder="1" applyFont="1">
      <alignment readingOrder="0"/>
    </xf>
    <xf borderId="10" fillId="0" fontId="2" numFmtId="0" xfId="0" applyAlignment="1" applyBorder="1" applyFont="1">
      <alignment readingOrder="0"/>
    </xf>
    <xf borderId="10" fillId="0" fontId="2" numFmtId="0" xfId="0" applyBorder="1" applyFont="1"/>
    <xf borderId="0" fillId="0" fontId="23" numFmtId="0" xfId="0" applyAlignment="1" applyFont="1">
      <alignment horizontal="left" readingOrder="0" shrinkToFit="0" vertical="center" wrapText="1"/>
    </xf>
    <xf borderId="12" fillId="7" fontId="11" numFmtId="0" xfId="0" applyAlignment="1" applyBorder="1" applyFill="1" applyFont="1">
      <alignment horizontal="right" shrinkToFit="0" vertical="center" wrapText="0"/>
    </xf>
    <xf borderId="1" fillId="7" fontId="11" numFmtId="0" xfId="0" applyAlignment="1" applyBorder="1" applyFill="1" applyFont="1">
      <alignment shrinkToFit="0" vertical="center" wrapText="1"/>
    </xf>
    <xf borderId="1" fillId="7" fontId="11" numFmtId="0" xfId="0" applyAlignment="1" applyBorder="1" applyFill="1" applyFont="1">
      <alignment horizontal="right" shrinkToFit="0" vertical="center" wrapText="0"/>
    </xf>
    <xf borderId="1" fillId="7" fontId="11" numFmtId="0" xfId="0" applyAlignment="1" applyBorder="1" applyFill="1" applyFont="1">
      <alignment horizontal="right" readingOrder="0" shrinkToFit="0" vertical="center" wrapText="0"/>
    </xf>
    <xf borderId="1" fillId="7" fontId="24" numFmtId="0" xfId="0" applyAlignment="1" applyBorder="1" applyFill="1" applyFont="1">
      <alignment shrinkToFit="0" vertical="center" wrapText="0"/>
    </xf>
    <xf borderId="1" fillId="7" fontId="25" numFmtId="0" xfId="0" applyAlignment="1" applyBorder="1" applyFill="1" applyFont="1">
      <alignment readingOrder="0" shrinkToFit="0" vertical="center" wrapText="0"/>
    </xf>
    <xf borderId="1" fillId="7" fontId="26" numFmtId="0" xfId="0" applyAlignment="1" applyBorder="1" applyFill="1" applyFont="1">
      <alignment shrinkToFit="0" vertical="center" wrapText="0"/>
    </xf>
    <xf borderId="0" fillId="0" fontId="27" numFmtId="0" xfId="0" applyAlignment="1" applyFont="1">
      <alignment readingOrder="0" shrinkToFit="0" vertical="center" wrapText="0"/>
    </xf>
    <xf borderId="0" fillId="0" fontId="27" numFmtId="0" xfId="0" applyAlignment="1" applyFont="1">
      <alignment readingOrder="0" shrinkToFit="0" vertical="center" wrapText="1"/>
    </xf>
    <xf borderId="0" fillId="7" fontId="28" numFmtId="0" xfId="0" applyAlignment="1" applyFill="1" applyFont="1">
      <alignment readingOrder="0" shrinkToFit="0" vertical="center" wrapText="0"/>
    </xf>
    <xf borderId="13" fillId="7" fontId="11" numFmtId="0" xfId="0" applyAlignment="1" applyBorder="1" applyFill="1" applyFont="1">
      <alignment shrinkToFit="0" vertical="center" wrapText="0"/>
    </xf>
    <xf borderId="14" fillId="8" fontId="11" numFmtId="0" xfId="0" applyAlignment="1" applyBorder="1" applyFill="1" applyFont="1">
      <alignment horizontal="right" shrinkToFit="0" vertical="center" wrapText="0"/>
    </xf>
    <xf borderId="2" fillId="8" fontId="11" numFmtId="0" xfId="0" applyAlignment="1" applyBorder="1" applyFill="1" applyFont="1">
      <alignment shrinkToFit="0" vertical="center" wrapText="1"/>
    </xf>
    <xf borderId="2" fillId="8" fontId="11" numFmtId="0" xfId="0" applyAlignment="1" applyBorder="1" applyFill="1" applyFont="1">
      <alignment horizontal="right" shrinkToFit="0" vertical="center" wrapText="0"/>
    </xf>
    <xf borderId="2" fillId="8" fontId="11" numFmtId="0" xfId="0" applyAlignment="1" applyBorder="1" applyFill="1" applyFont="1">
      <alignment horizontal="right" readingOrder="0" shrinkToFit="0" vertical="center" wrapText="0"/>
    </xf>
    <xf borderId="2" fillId="8" fontId="24" numFmtId="0" xfId="0" applyAlignment="1" applyBorder="1" applyFill="1" applyFont="1">
      <alignment shrinkToFit="0" vertical="center" wrapText="0"/>
    </xf>
    <xf borderId="2" fillId="8" fontId="29" numFmtId="0" xfId="0" applyAlignment="1" applyBorder="1" applyFill="1" applyFont="1">
      <alignment shrinkToFit="0" vertical="center" wrapText="0"/>
    </xf>
    <xf borderId="2" fillId="8" fontId="26" numFmtId="0" xfId="0" applyAlignment="1" applyBorder="1" applyFill="1" applyFont="1">
      <alignment shrinkToFit="0" vertical="center" wrapText="0"/>
    </xf>
    <xf borderId="0" fillId="0" fontId="27" numFmtId="0" xfId="0" applyAlignment="1" applyFont="1">
      <alignment shrinkToFit="0" vertical="center" wrapText="0"/>
    </xf>
    <xf borderId="0" fillId="0" fontId="27" numFmtId="0" xfId="0" applyAlignment="1" applyFont="1">
      <alignment shrinkToFit="0" vertical="center" wrapText="1"/>
    </xf>
    <xf borderId="0" fillId="8" fontId="28" numFmtId="0" xfId="0" applyAlignment="1" applyFill="1" applyFont="1">
      <alignment shrinkToFit="0" vertical="center" wrapText="0"/>
    </xf>
    <xf borderId="15" fillId="8" fontId="11" numFmtId="0" xfId="0" applyAlignment="1" applyBorder="1" applyFill="1" applyFont="1">
      <alignment shrinkToFit="0" vertical="center" wrapText="0"/>
    </xf>
    <xf borderId="1" fillId="7" fontId="30" numFmtId="0" xfId="0" applyAlignment="1" applyBorder="1" applyFill="1" applyFont="1">
      <alignment readingOrder="0" shrinkToFit="0" vertical="center" wrapText="0"/>
    </xf>
    <xf borderId="0" fillId="7" fontId="28" numFmtId="0" xfId="0" applyAlignment="1" applyFill="1" applyFont="1">
      <alignment readingOrder="0" shrinkToFit="0" vertical="center" wrapText="0"/>
    </xf>
    <xf borderId="13" fillId="7" fontId="16" numFmtId="0" xfId="0" applyAlignment="1" applyBorder="1" applyFill="1" applyFont="1">
      <alignment shrinkToFit="0" vertical="center" wrapText="0"/>
    </xf>
    <xf borderId="2" fillId="8" fontId="24" numFmtId="0" xfId="0" applyAlignment="1" applyBorder="1" applyFill="1" applyFont="1">
      <alignment readingOrder="0" shrinkToFit="0" vertical="center" wrapText="0"/>
    </xf>
    <xf borderId="2" fillId="8" fontId="25" numFmtId="0" xfId="0" applyAlignment="1" applyBorder="1" applyFill="1" applyFont="1">
      <alignment shrinkToFit="0" vertical="center" wrapText="0"/>
    </xf>
    <xf borderId="0" fillId="0" fontId="31" numFmtId="0" xfId="0" applyAlignment="1" applyFont="1">
      <alignment shrinkToFit="0" vertical="center" wrapText="1"/>
    </xf>
    <xf borderId="15" fillId="8" fontId="16" numFmtId="0" xfId="0" applyAlignment="1" applyBorder="1" applyFill="1" applyFont="1">
      <alignment shrinkToFit="0" vertical="center" wrapText="0"/>
    </xf>
    <xf borderId="1" fillId="7" fontId="30" numFmtId="0" xfId="0" applyAlignment="1" applyBorder="1" applyFill="1" applyFont="1">
      <alignment shrinkToFit="0" vertical="center" wrapText="0"/>
    </xf>
    <xf borderId="1" fillId="7" fontId="25" numFmtId="0" xfId="0" applyAlignment="1" applyBorder="1" applyFill="1" applyFont="1">
      <alignment shrinkToFit="0" vertical="center" wrapText="0"/>
    </xf>
    <xf borderId="0" fillId="7" fontId="28" numFmtId="0" xfId="0" applyAlignment="1" applyFill="1" applyFont="1">
      <alignment readingOrder="0" shrinkToFit="0" vertical="center" wrapText="1"/>
    </xf>
    <xf borderId="2" fillId="8" fontId="26" numFmtId="0" xfId="0" applyAlignment="1" applyBorder="1" applyFill="1" applyFont="1">
      <alignment readingOrder="0" shrinkToFit="0" vertical="center" wrapText="0"/>
    </xf>
    <xf borderId="0" fillId="7" fontId="28" numFmtId="0" xfId="0" applyAlignment="1" applyFill="1" applyFont="1">
      <alignment shrinkToFit="0" vertical="center" wrapText="0"/>
    </xf>
    <xf borderId="2" fillId="8" fontId="30" numFmtId="0" xfId="0" applyAlignment="1" applyBorder="1" applyFill="1" applyFont="1">
      <alignment shrinkToFit="0" vertical="center" wrapText="0"/>
    </xf>
    <xf borderId="2" fillId="8" fontId="30" numFmtId="0" xfId="0" applyAlignment="1" applyBorder="1" applyFill="1" applyFont="1">
      <alignment readingOrder="0" shrinkToFit="0" vertical="center" wrapText="0"/>
    </xf>
    <xf borderId="2" fillId="8" fontId="25" numFmtId="0" xfId="0" applyAlignment="1" applyBorder="1" applyFill="1" applyFont="1">
      <alignment readingOrder="0" shrinkToFit="0" vertical="center" wrapText="0"/>
    </xf>
    <xf borderId="0" fillId="8" fontId="28" numFmtId="0" xfId="0" applyAlignment="1" applyFill="1" applyFont="1">
      <alignment readingOrder="0" shrinkToFit="0" vertical="center" wrapText="1"/>
    </xf>
    <xf borderId="0" fillId="7" fontId="28" numFmtId="0" xfId="0" applyAlignment="1" applyFill="1" applyFont="1">
      <alignment readingOrder="0" shrinkToFit="0" vertical="center" wrapText="1"/>
    </xf>
    <xf borderId="0" fillId="8" fontId="28" numFmtId="0" xfId="0" applyAlignment="1" applyFill="1" applyFont="1">
      <alignment readingOrder="0" shrinkToFit="0" vertical="center" wrapText="0"/>
    </xf>
    <xf borderId="2" fillId="8" fontId="11" numFmtId="0" xfId="0" applyAlignment="1" applyBorder="1" applyFill="1" applyFont="1">
      <alignment horizontal="right" shrinkToFit="0" vertical="center" wrapText="0"/>
    </xf>
    <xf borderId="1" fillId="7" fontId="11" numFmtId="0" xfId="0" applyAlignment="1" applyBorder="1" applyFill="1" applyFont="1">
      <alignment horizontal="right" shrinkToFit="0" vertical="center" wrapText="0"/>
    </xf>
    <xf borderId="0" fillId="0" fontId="32" numFmtId="0" xfId="0" applyAlignment="1" applyFont="1">
      <alignment readingOrder="0" shrinkToFit="0" vertical="center" wrapText="1"/>
    </xf>
    <xf borderId="0" fillId="0" fontId="32" numFmtId="0" xfId="0" applyAlignment="1" applyFont="1">
      <alignment shrinkToFit="0" vertical="center" wrapText="1"/>
    </xf>
    <xf borderId="16" fillId="8" fontId="11" numFmtId="0" xfId="0" applyAlignment="1" applyBorder="1" applyFill="1" applyFont="1">
      <alignment horizontal="right" shrinkToFit="0" vertical="center" wrapText="0"/>
    </xf>
    <xf borderId="17" fillId="8" fontId="11" numFmtId="0" xfId="0" applyAlignment="1" applyBorder="1" applyFill="1" applyFont="1">
      <alignment shrinkToFit="0" vertical="center" wrapText="1"/>
    </xf>
    <xf borderId="17" fillId="8" fontId="11" numFmtId="0" xfId="0" applyAlignment="1" applyBorder="1" applyFill="1" applyFont="1">
      <alignment horizontal="right" shrinkToFit="0" vertical="center" wrapText="0"/>
    </xf>
    <xf borderId="17" fillId="8" fontId="11" numFmtId="0" xfId="0" applyAlignment="1" applyBorder="1" applyFill="1" applyFont="1">
      <alignment horizontal="right" shrinkToFit="0" vertical="center" wrapText="0"/>
    </xf>
    <xf borderId="17" fillId="8" fontId="30" numFmtId="0" xfId="0" applyAlignment="1" applyBorder="1" applyFill="1" applyFont="1">
      <alignment shrinkToFit="0" vertical="center" wrapText="0"/>
    </xf>
    <xf borderId="17" fillId="8" fontId="25" numFmtId="0" xfId="0" applyAlignment="1" applyBorder="1" applyFill="1" applyFont="1">
      <alignment shrinkToFit="0" vertical="center" wrapText="0"/>
    </xf>
    <xf borderId="17" fillId="8" fontId="26" numFmtId="0" xfId="0" applyAlignment="1" applyBorder="1" applyFill="1" applyFont="1">
      <alignment shrinkToFit="0" vertical="center" wrapText="0"/>
    </xf>
    <xf borderId="18" fillId="8" fontId="11" numFmtId="0" xfId="0" applyAlignment="1" applyBorder="1" applyFill="1" applyFont="1">
      <alignment shrinkToFit="0" vertical="center" wrapText="0"/>
    </xf>
    <xf borderId="0" fillId="8" fontId="11" numFmtId="0" xfId="0" applyAlignment="1" applyFill="1" applyFont="1">
      <alignment readingOrder="0" shrinkToFit="0" vertical="center" wrapText="1"/>
    </xf>
    <xf borderId="0" fillId="8" fontId="11" numFmtId="0" xfId="0" applyAlignment="1" applyFill="1" applyFont="1">
      <alignment horizontal="right" readingOrder="0" shrinkToFit="0" vertical="center" wrapText="0"/>
    </xf>
    <xf borderId="0" fillId="8" fontId="11" numFmtId="0" xfId="0" applyAlignment="1" applyFill="1" applyFont="1">
      <alignment horizontal="right" readingOrder="0" shrinkToFit="0" vertical="center" wrapText="0"/>
    </xf>
    <xf borderId="0" fillId="8" fontId="30" numFmtId="0" xfId="0" applyAlignment="1" applyFill="1" applyFont="1">
      <alignment readingOrder="0" shrinkToFit="0" vertical="center" wrapText="0"/>
    </xf>
    <xf borderId="0" fillId="8" fontId="25" numFmtId="0" xfId="0" applyAlignment="1" applyFill="1" applyFont="1">
      <alignment readingOrder="0" shrinkToFit="0" vertical="center" wrapText="0"/>
    </xf>
    <xf borderId="0" fillId="8" fontId="26" numFmtId="0" xfId="0" applyAlignment="1" applyFill="1" applyFont="1">
      <alignment readingOrder="0" shrinkToFit="0" vertical="center" wrapText="0"/>
    </xf>
    <xf borderId="0" fillId="8" fontId="11" numFmtId="0" xfId="0" applyAlignment="1" applyFill="1" applyFont="1">
      <alignment shrinkToFit="0" vertical="center" wrapText="0"/>
    </xf>
    <xf borderId="0" fillId="0" fontId="16" numFmtId="0" xfId="0" applyAlignment="1" applyFont="1">
      <alignment vertical="bottom"/>
    </xf>
    <xf borderId="0" fillId="0" fontId="2" numFmtId="165" xfId="0" applyAlignment="1" applyFont="1" applyNumberFormat="1">
      <alignment readingOrder="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7" numFmtId="0" xfId="0" applyAlignment="1" applyFont="1">
      <alignment horizontal="center" shrinkToFit="0" vertical="bottom" wrapText="1"/>
    </xf>
    <xf borderId="0" fillId="7" fontId="16" numFmtId="0" xfId="0" applyAlignment="1" applyFill="1" applyFont="1">
      <alignment horizontal="right" shrinkToFit="0" vertical="bottom" wrapText="1"/>
    </xf>
    <xf borderId="0" fillId="7" fontId="16" numFmtId="0" xfId="0" applyAlignment="1" applyFill="1" applyFont="1">
      <alignment vertical="bottom"/>
    </xf>
    <xf borderId="0" fillId="7" fontId="16" numFmtId="0" xfId="0" applyAlignment="1" applyFill="1" applyFont="1">
      <alignment readingOrder="0" vertical="bottom"/>
    </xf>
    <xf borderId="0" fillId="0" fontId="16" numFmtId="0" xfId="0" applyAlignment="1" applyFont="1">
      <alignment readingOrder="0" vertical="bottom"/>
    </xf>
    <xf borderId="0" fillId="0" fontId="17" numFmtId="0" xfId="0" applyAlignment="1" applyFont="1">
      <alignment horizontal="right" vertical="bottom"/>
    </xf>
    <xf borderId="0" fillId="0" fontId="17" numFmtId="0" xfId="0" applyAlignment="1" applyFont="1">
      <alignment horizontal="right" vertical="bottom"/>
    </xf>
    <xf borderId="0" fillId="0" fontId="17" numFmtId="0" xfId="0" applyAlignment="1" applyFont="1">
      <alignment vertical="bottom"/>
    </xf>
    <xf borderId="0" fillId="0" fontId="17" numFmtId="0" xfId="0" applyAlignment="1" applyFont="1">
      <alignment readingOrder="0" vertical="bottom"/>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38">
    <tableStyle count="2" pivot="0" name="RQ2（Eamin）-style">
      <tableStyleElement dxfId="1" type="firstRowStripe"/>
      <tableStyleElement dxfId="2" type="secondRowStripe"/>
    </tableStyle>
    <tableStyle count="2" pivot="0" name="RQ2（Eamin）-style 2">
      <tableStyleElement dxfId="1" type="firstRowStripe"/>
      <tableStyleElement dxfId="2" type="secondRowStripe"/>
    </tableStyle>
    <tableStyle count="2" pivot="0" name="RQ2-style">
      <tableStyleElement dxfId="1" type="firstRowStripe"/>
      <tableStyleElement dxfId="2" type="secondRowStripe"/>
    </tableStyle>
    <tableStyle count="4" pivot="0" name="Summary-style">
      <tableStyleElement dxfId="3" type="headerRow"/>
      <tableStyleElement dxfId="1" type="firstRowStripe"/>
      <tableStyleElement dxfId="2" type="secondRowStripe"/>
      <tableStyleElement dxfId="4" size="0" type="wholeTable"/>
    </tableStyle>
    <tableStyle count="4" pivot="0" name="Summary-style 2">
      <tableStyleElement dxfId="3" type="headerRow"/>
      <tableStyleElement dxfId="1" type="firstRowStripe"/>
      <tableStyleElement dxfId="2" type="secondRowStripe"/>
      <tableStyleElement dxfId="4" size="0" type="wholeTable"/>
    </tableStyle>
    <tableStyle count="4" pivot="0" name="Summary-style 3">
      <tableStyleElement dxfId="3" type="headerRow"/>
      <tableStyleElement dxfId="1" type="firstRowStripe"/>
      <tableStyleElement dxfId="2" type="secondRowStripe"/>
      <tableStyleElement dxfId="4" size="0" type="wholeTable"/>
    </tableStyle>
    <tableStyle count="4" pivot="0" name="Agent Distribution - Deepseek-style">
      <tableStyleElement dxfId="3" type="headerRow"/>
      <tableStyleElement dxfId="1" type="firstRowStripe"/>
      <tableStyleElement dxfId="2" type="secondRowStripe"/>
      <tableStyleElement dxfId="4" size="0" type="wholeTable"/>
    </tableStyle>
    <tableStyle count="4" pivot="0" name="Agent Distribution - GPT-style">
      <tableStyleElement dxfId="3" type="headerRow"/>
      <tableStyleElement dxfId="1" type="firstRowStripe"/>
      <tableStyleElement dxfId="2" type="secondRowStripe"/>
      <tableStyleElement dxfId="4" size="0" type="wholeTable"/>
    </tableStyle>
    <tableStyle count="5" pivot="0" name="Agent Distribution - Deepseek-style 2">
      <tableStyleElement dxfId="3" type="headerRow"/>
      <tableStyleElement dxfId="1" type="firstRowStripe"/>
      <tableStyleElement dxfId="2" type="secondRowStripe"/>
      <tableStyleElement dxfId="5" type="totalRow"/>
      <tableStyleElement dxfId="4" size="0" type="wholeTable"/>
    </tableStyle>
    <tableStyle count="5" pivot="0" name="Agent Distribution - GPT-style 2">
      <tableStyleElement dxfId="3" type="headerRow"/>
      <tableStyleElement dxfId="1" type="firstRowStripe"/>
      <tableStyleElement dxfId="2" type="secondRowStripe"/>
      <tableStyleElement dxfId="5" type="totalRow"/>
      <tableStyleElement dxfId="4" size="0" type="wholeTable"/>
    </tableStyle>
    <tableStyle count="5" pivot="0" name="Agent Distribution - Deepseek-style 3">
      <tableStyleElement dxfId="3" type="headerRow"/>
      <tableStyleElement dxfId="1" type="firstRowStripe"/>
      <tableStyleElement dxfId="2" type="secondRowStripe"/>
      <tableStyleElement dxfId="5" type="totalRow"/>
      <tableStyleElement dxfId="4" size="0" type="wholeTable"/>
    </tableStyle>
    <tableStyle count="5" pivot="0" name="Agent Distribution - GPT-style 3">
      <tableStyleElement dxfId="3" type="headerRow"/>
      <tableStyleElement dxfId="1" type="firstRowStripe"/>
      <tableStyleElement dxfId="2" type="secondRowStripe"/>
      <tableStyleElement dxfId="5" type="totalRow"/>
      <tableStyleElement dxfId="4" size="0" type="wholeTable"/>
    </tableStyle>
    <tableStyle count="4" pivot="0" name="Agent Distribution - Deepseek-style 4">
      <tableStyleElement dxfId="3" type="headerRow"/>
      <tableStyleElement dxfId="1" type="firstRowStripe"/>
      <tableStyleElement dxfId="2" type="secondRowStripe"/>
      <tableStyleElement dxfId="4" size="0" type="wholeTable"/>
    </tableStyle>
    <tableStyle count="4" pivot="0" name="Agent Distribution - GPT-style 4">
      <tableStyleElement dxfId="3" type="headerRow"/>
      <tableStyleElement dxfId="1" type="firstRowStripe"/>
      <tableStyleElement dxfId="2" type="secondRowStripe"/>
      <tableStyleElement dxfId="4" size="0" type="wholeTable"/>
    </tableStyle>
    <tableStyle count="4" pivot="0" name="Agent Distribution - GPT-style 5">
      <tableStyleElement dxfId="3" type="headerRow"/>
      <tableStyleElement dxfId="1" type="firstRowStripe"/>
      <tableStyleElement dxfId="2" type="secondRowStripe"/>
      <tableStyleElement dxfId="4" size="0" type="wholeTable"/>
    </tableStyle>
    <tableStyle count="4" pivot="0" name="Agent Distribution - GPT-style 6">
      <tableStyleElement dxfId="3" type="headerRow"/>
      <tableStyleElement dxfId="1" type="firstRowStripe"/>
      <tableStyleElement dxfId="2" type="secondRowStripe"/>
      <tableStyleElement dxfId="4" size="0" type="wholeTable"/>
    </tableStyle>
    <tableStyle count="4" pivot="0" name="Agent Distribution - GPT-style 7">
      <tableStyleElement dxfId="3" type="headerRow"/>
      <tableStyleElement dxfId="1" type="firstRowStripe"/>
      <tableStyleElement dxfId="2" type="secondRowStripe"/>
      <tableStyleElement dxfId="4" size="0" type="wholeTable"/>
    </tableStyle>
    <tableStyle count="4" pivot="0" name="Agent Distribution - Kimi-style">
      <tableStyleElement dxfId="3" type="headerRow"/>
      <tableStyleElement dxfId="1" type="firstRowStripe"/>
      <tableStyleElement dxfId="2" type="secondRowStripe"/>
      <tableStyleElement dxfId="4" size="0" type="wholeTable"/>
    </tableStyle>
    <tableStyle count="5" pivot="0" name="Agent Distribution - Kimi-style 2">
      <tableStyleElement dxfId="3" type="headerRow"/>
      <tableStyleElement dxfId="1" type="firstRowStripe"/>
      <tableStyleElement dxfId="2" type="secondRowStripe"/>
      <tableStyleElement dxfId="5" type="totalRow"/>
      <tableStyleElement dxfId="4" size="0" type="wholeTable"/>
    </tableStyle>
    <tableStyle count="5" pivot="0" name="Agent Distribution - Kimi-style 3">
      <tableStyleElement dxfId="3" type="headerRow"/>
      <tableStyleElement dxfId="1" type="firstRowStripe"/>
      <tableStyleElement dxfId="2" type="secondRowStripe"/>
      <tableStyleElement dxfId="5" type="totalRow"/>
      <tableStyleElement dxfId="4" size="0" type="wholeTable"/>
    </tableStyle>
    <tableStyle count="4" pivot="0" name="Agent Distribution - Kimi-style 4">
      <tableStyleElement dxfId="3" type="headerRow"/>
      <tableStyleElement dxfId="1" type="firstRowStripe"/>
      <tableStyleElement dxfId="2" type="secondRowStripe"/>
      <tableStyleElement dxfId="4" size="0" type="wholeTable"/>
    </tableStyle>
    <tableStyle count="4" pivot="0" name="Misc-style">
      <tableStyleElement dxfId="3" type="headerRow"/>
      <tableStyleElement dxfId="1" type="firstRowStripe"/>
      <tableStyleElement dxfId="2" type="secondRowStripe"/>
      <tableStyleElement dxfId="4" size="0" type="wholeTable"/>
    </tableStyle>
    <tableStyle count="4" pivot="0" name="Summary of Experiments-style">
      <tableStyleElement dxfId="3" type="headerRow"/>
      <tableStyleElement dxfId="1" type="firstRowStripe"/>
      <tableStyleElement dxfId="2" type="secondRowStripe"/>
      <tableStyleElement dxfId="4" size="0" type="wholeTable"/>
    </tableStyle>
    <tableStyle count="4" pivot="0" name="Summary of Experiments-style 2">
      <tableStyleElement dxfId="3" type="headerRow"/>
      <tableStyleElement dxfId="1" type="firstRowStripe"/>
      <tableStyleElement dxfId="2" type="secondRowStripe"/>
      <tableStyleElement dxfId="4" size="0" type="wholeTable"/>
    </tableStyle>
    <tableStyle count="4" pivot="0" name="Summary of Experiments-style 3">
      <tableStyleElement dxfId="3" type="headerRow"/>
      <tableStyleElement dxfId="1" type="firstRowStripe"/>
      <tableStyleElement dxfId="2" type="secondRowStripe"/>
      <tableStyleElement dxfId="4" size="0" type="wholeTable"/>
    </tableStyle>
    <tableStyle count="4" pivot="0" name="Summary of Experiments-style 4">
      <tableStyleElement dxfId="3" type="headerRow"/>
      <tableStyleElement dxfId="1" type="firstRowStripe"/>
      <tableStyleElement dxfId="2" type="secondRowStripe"/>
      <tableStyleElement dxfId="4" size="0" type="wholeTable"/>
    </tableStyle>
    <tableStyle count="4" pivot="0" name="Summary of Experiments-style 5">
      <tableStyleElement dxfId="3" type="headerRow"/>
      <tableStyleElement dxfId="1" type="firstRowStripe"/>
      <tableStyleElement dxfId="2" type="secondRowStripe"/>
      <tableStyleElement dxfId="4" size="0" type="wholeTable"/>
    </tableStyle>
    <tableStyle count="4" pivot="0" name="Summary of Experiments-style 6">
      <tableStyleElement dxfId="3" type="headerRow"/>
      <tableStyleElement dxfId="1" type="firstRowStripe"/>
      <tableStyleElement dxfId="2" type="secondRowStripe"/>
      <tableStyleElement dxfId="4" size="0" type="wholeTable"/>
    </tableStyle>
    <tableStyle count="4" pivot="0" name="Summary of Experiments-style 7">
      <tableStyleElement dxfId="3" type="headerRow"/>
      <tableStyleElement dxfId="1" type="firstRowStripe"/>
      <tableStyleElement dxfId="2" type="secondRowStripe"/>
      <tableStyleElement dxfId="4" size="0" type="wholeTable"/>
    </tableStyle>
    <tableStyle count="4" pivot="0" name="Summary of Experiments-style 8">
      <tableStyleElement dxfId="3" type="headerRow"/>
      <tableStyleElement dxfId="1" type="firstRowStripe"/>
      <tableStyleElement dxfId="2" type="secondRowStripe"/>
      <tableStyleElement dxfId="4" size="0" type="wholeTable"/>
    </tableStyle>
    <tableStyle count="4" pivot="0" name="Summary of Experiments-style 9">
      <tableStyleElement dxfId="3" type="headerRow"/>
      <tableStyleElement dxfId="1" type="firstRowStripe"/>
      <tableStyleElement dxfId="2" type="secondRowStripe"/>
      <tableStyleElement dxfId="4" size="0" type="wholeTable"/>
    </tableStyle>
    <tableStyle count="4" pivot="0" name="Summary of Experiments-style 10">
      <tableStyleElement dxfId="3" type="headerRow"/>
      <tableStyleElement dxfId="1" type="firstRowStripe"/>
      <tableStyleElement dxfId="2" type="secondRowStripe"/>
      <tableStyleElement dxfId="4" size="0" type="wholeTable"/>
    </tableStyle>
    <tableStyle count="4" pivot="0" name="Summary of Experiments-style 11">
      <tableStyleElement dxfId="3" type="headerRow"/>
      <tableStyleElement dxfId="1" type="firstRowStripe"/>
      <tableStyleElement dxfId="2" type="secondRowStripe"/>
      <tableStyleElement dxfId="4" size="0" type="wholeTable"/>
    </tableStyle>
    <tableStyle count="4" pivot="0" name="Summary of Experiments-style 12">
      <tableStyleElement dxfId="3" type="headerRow"/>
      <tableStyleElement dxfId="1" type="firstRowStripe"/>
      <tableStyleElement dxfId="2" type="secondRowStripe"/>
      <tableStyleElement dxfId="4" size="0" type="wholeTable"/>
    </tableStyle>
    <tableStyle count="2" pivot="0" name="gpt-4.1-mini-style">
      <tableStyleElement dxfId="2" type="firstRowStripe"/>
      <tableStyleElement dxfId="1" type="secondRowStripe"/>
    </tableStyle>
    <tableStyle count="2" pivot="0" name="claude-opus-4-6-style">
      <tableStyleElement dxfId="2" type="firstRowStripe"/>
      <tableStyleElement dxfId="1" type="secondRowStripe"/>
    </tableStyle>
    <tableStyle count="2" pivot="0" name="deepsek-v3-style">
      <tableStyleElement dxfId="2" type="firstRowStripe"/>
      <tableStyleElement dxfId="1" type="secondRowStripe"/>
    </tableStyle>
    <tableStyle count="4" pivot="0" name="List of Issues-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65:F384" displayName="Table_2" name="Table_2" id="2">
  <tableColumns count="6">
    <tableColumn name="Column1" id="1"/>
    <tableColumn name="Column2" id="2"/>
    <tableColumn name="Column3" id="3"/>
    <tableColumn name="Column4" id="4"/>
    <tableColumn name="Column5" id="5"/>
    <tableColumn name="Column6" id="6"/>
  </tableColumns>
  <tableStyleInfo name="RQ2-style" showColumnStripes="0" showFirstColumn="1" showLastColumn="1" showRowStripes="1"/>
</table>
</file>

<file path=xl/tables/table2.xml><?xml version="1.0" encoding="utf-8"?>
<table xmlns="http://schemas.openxmlformats.org/spreadsheetml/2006/main" headerRowCount="0" ref="A366:B385" displayName="Table_1" name="Table_1" id="1">
  <tableColumns count="2">
    <tableColumn name="Column1" id="1"/>
    <tableColumn name="Column2" id="2"/>
  </tableColumns>
  <tableStyleInfo name="RQ2（Eamin）-style" showColumnStripes="0" showFirstColumn="1" showLastColumn="1" showRowStripes="1"/>
</table>
</file>

<file path=xl/tables/table3.xml><?xml version="1.0" encoding="utf-8"?>
<table xmlns="http://schemas.openxmlformats.org/spreadsheetml/2006/main" headerRowCount="0" ref="D366:D385" displayName="Table_3" name="Table_3" id="3">
  <tableColumns count="1">
    <tableColumn name="Column1" id="1"/>
  </tableColumns>
  <tableStyleInfo name="RQ2（Eamin）-style 2" showColumnStripes="0" showFirstColumn="1" showLastColumn="1" showRowStripes="1"/>
</table>
</file>

<file path=xl/tables/table4.xml><?xml version="1.0" encoding="utf-8"?>
<table xmlns="http://schemas.openxmlformats.org/spreadsheetml/2006/main" ref="A4:Q7" displayName="GPT" name="GPT" id="4">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Summary-style" showColumnStripes="0" showFirstColumn="1" showLastColumn="1" showRowStripes="1"/>
</table>
</file>

<file path=xl/tables/table5.xml><?xml version="1.0" encoding="utf-8"?>
<table xmlns="http://schemas.openxmlformats.org/spreadsheetml/2006/main" ref="A13:Q16" displayName="Deepseek" name="Deepseek" id="5">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Summary-style 2" showColumnStripes="0" showFirstColumn="1" showLastColumn="1" showRowStripes="1"/>
</table>
</file>

<file path=xl/tables/table6.xml><?xml version="1.0" encoding="utf-8"?>
<table xmlns="http://schemas.openxmlformats.org/spreadsheetml/2006/main" ref="A22:Q25" displayName="Kimi" name="Kimi" id="6">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Summary-style 3" showColumnStripes="0" showFirstColumn="1" showLastColumn="1" showRowStripes="1"/>
</table>
</file>

<file path=xl/tables/table7.xml><?xml version="1.0" encoding="utf-8"?>
<table xmlns="http://schemas.openxmlformats.org/spreadsheetml/2006/main" ref="A3:AL14" displayName="AGENT_FRAMEWORKS" name="AGENT_FRAMEWORKS" id="8">
  <tableColumns count="38">
    <tableColumn name="No" id="1"/>
    <tableColumn name="Repository" id="2"/>
    <tableColumn name="Repo link" id="3"/>
    <tableColumn name="Language" id="4"/>
    <tableColumn name="Stars" id="5"/>
    <tableColumn name="License" id="6"/>
    <tableColumn name="Total Issues with In-Patch (on 80)" id="7"/>
    <tableColumn name="Total Issues without In-Patch (on 80)" id="8"/>
    <tableColumn name="Total Issues (on 80)" id="9"/>
    <tableColumn name="Total F2P With In-Patch (on 80)" id="10"/>
    <tableColumn name="Total F2P Without In-Patch (on 80)" id="11"/>
    <tableColumn name="Total F2P (on 80)" id="12"/>
    <tableColumn name="第 13 列" id="13"/>
    <tableColumn name="Total Issues with In-Patch (on 70)" id="14"/>
    <tableColumn name="Total Issues without In-Patch (on 70)" id="15"/>
    <tableColumn name="Total Issues (on 70)" id="16"/>
    <tableColumn name="Total F2P With In-Patch (on 70)" id="17"/>
    <tableColumn name="Total F2P Without In-Patch (on 70)" id="18"/>
    <tableColumn name="Total F2P (on 70)" id="19"/>
    <tableColumn name="Column 17" id="20"/>
    <tableColumn name="Total Issues with In-Patch (on 50)" id="21"/>
    <tableColumn name="Total Issues without In-Patch (on 50)" id="22"/>
    <tableColumn name="Total Issues (on 50)" id="23"/>
    <tableColumn name="Total F2P With In-Patch (on 50)" id="24"/>
    <tableColumn name="Total F2P Without In-Patch (on 50)" id="25"/>
    <tableColumn name="Total F2P (data: 50)" id="26"/>
    <tableColumn name="Column 17 2" id="27"/>
    <tableColumn name="Total Issues with In-Patch (on 25)" id="28"/>
    <tableColumn name="Total Issues without In-Patch (on 25)" id="29"/>
    <tableColumn name="Total Issues (on 25)" id="30"/>
    <tableColumn name="Total F2P With In-Patch (on 25)" id="31"/>
    <tableColumn name="Total F2P Without In-Patch (on 25)" id="32"/>
    <tableColumn name="Total F2P (data: 25)" id="33"/>
    <tableColumn name="Column 17 3" id="34"/>
    <tableColumn name="Total Issues with In-Patch" id="35"/>
    <tableColumn name="Total Issues without In-Patch" id="36"/>
    <tableColumn name="Total Issues" id="37"/>
    <tableColumn name="Total F2P" id="38"/>
  </tableColumns>
  <tableStyleInfo name="Agent Distribution - GPT-style" showColumnStripes="0" showFirstColumn="1" showLastColumn="1" showRowStripes="1"/>
</table>
</file>

<file path=xl/tables/table8.xml><?xml version="1.0" encoding="utf-8"?>
<table xmlns="http://schemas.openxmlformats.org/spreadsheetml/2006/main" totalsRowCount="1" ref="A19:AL30" displayName="AGENT_APPLICATIONS" name="AGENT_APPLICATIONS" id="10">
  <tableColumns count="38">
    <tableColumn name="No" id="1"/>
    <tableColumn totalsRowLabel="TOTAL" name="Repository" id="2"/>
    <tableColumn name="Repo link" id="3"/>
    <tableColumn name="Language" id="4"/>
    <tableColumn name="Stars" id="5"/>
    <tableColumn name="License" id="6"/>
    <tableColumn totalsRowFunction="custom" name="Total Issues with In-Patch (on 80)" id="7"/>
    <tableColumn totalsRowFunction="custom" name="Total Issues without In-Patch (on 80)" id="8"/>
    <tableColumn totalsRowFunction="custom" name="Total Issues (on 80)" id="9"/>
    <tableColumn totalsRowFunction="custom" name="Total F2P In-Patch (on 80)" id="10"/>
    <tableColumn totalsRowFunction="custom" name="Total F2P No In-Patch (on 80)" id="11"/>
    <tableColumn totalsRowFunction="custom" name="Total F2P (on 80)" id="12"/>
    <tableColumn name="第 13 列" id="13"/>
    <tableColumn totalsRowFunction="custom" name="Total Issues with In-Patch (on 70)" id="14"/>
    <tableColumn totalsRowFunction="custom" name="Total Issues without In-Patch (on 70)" id="15"/>
    <tableColumn totalsRowFunction="custom" name="Total Issues (on 70)" id="16"/>
    <tableColumn totalsRowFunction="custom" name="Total F2P With In-Patch (on 70)" id="17"/>
    <tableColumn totalsRowFunction="custom" name="Total F2P Without In-Patch (on 70)" id="18"/>
    <tableColumn totalsRowFunction="custom" name="Total F2P (on 70)" id="19"/>
    <tableColumn name="Column 17" id="20"/>
    <tableColumn totalsRowFunction="custom" name="Total Issues with In-Patch (on 50)" id="21"/>
    <tableColumn totalsRowFunction="custom" name="Total Issues without In-Patch (on 50)" id="22"/>
    <tableColumn totalsRowFunction="custom" name="Total Issues (on 50)" id="23"/>
    <tableColumn totalsRowFunction="custom" name="Total F2P With In-Patch (on 50)" id="24"/>
    <tableColumn totalsRowFunction="custom" name="Total F2P Without In-Patch (on 50)" id="25"/>
    <tableColumn totalsRowFunction="custom" name="Total F2P (data: 50)" id="26"/>
    <tableColumn name="Column 17 2" id="27"/>
    <tableColumn totalsRowFunction="custom" name="Total Issues with In-Patch (on 25)" id="28"/>
    <tableColumn totalsRowFunction="custom" name="Total Issues without In-Patch (on 25)" id="29"/>
    <tableColumn totalsRowFunction="custom" name="Total Issues (on 25)" id="30"/>
    <tableColumn totalsRowLabel="0" name="Total F2P With In-Patch (on 25)" id="31"/>
    <tableColumn totalsRowLabel="0" name="Total F2P Without In-Patch (on 25)" id="32"/>
    <tableColumn totalsRowLabel="0" name="Total F2P (data: 25)" id="33"/>
    <tableColumn name="Column 17 3" id="34"/>
    <tableColumn name="Total Issues with In-Patch" id="35"/>
    <tableColumn name="Total Issues without In-Patch" id="36"/>
    <tableColumn totalsRowFunction="custom" name="Total Issues" id="37"/>
    <tableColumn totalsRowFunction="custom" name="Total F2P" id="38"/>
  </tableColumns>
  <tableStyleInfo name="Agent Distribution - GPT-style 2" showColumnStripes="0" showFirstColumn="1" showLastColumn="1" showRowStripes="1"/>
</table>
</file>

<file path=xl/tables/table9.xml><?xml version="1.0" encoding="utf-8"?>
<table xmlns="http://schemas.openxmlformats.org/spreadsheetml/2006/main" totalsRowCount="1" ref="A35:I40" displayName="Summary_of_Batches" name="Summary_of_Batches" id="12">
  <tableColumns count="9">
    <tableColumn name="No" id="1"/>
    <tableColumn totalsRowLabel="TOTAL" name="Batch" id="2"/>
    <tableColumn totalsRowFunction="custom" name="Issues with In-Patch" id="3"/>
    <tableColumn totalsRowFunction="custom" name="Issues without In-Patch" id="4"/>
    <tableColumn totalsRowFunction="custom" name="F2P with In-Patch" id="5"/>
    <tableColumn totalsRowFunction="custom" name="F2P without In-Patch" id="6"/>
    <tableColumn totalsRowFunction="custom" name="Total F2P" id="7"/>
    <tableColumn totalsRowFunction="custom" name="SWE-Factory F2P" id="8"/>
    <tableColumn totalsRowFunction="custom" name="SWE-bench-Live F2P" id="9"/>
  </tableColumns>
  <tableStyleInfo name="Agent Distribution - GPT-style 3" showColumnStripes="0" showFirstColumn="1" showLastColumn="1" showRowStripes="1"/>
</table>
</file>

<file path=xl/tables/table10.xml><?xml version="1.0" encoding="utf-8"?>
<table xmlns="http://schemas.openxmlformats.org/spreadsheetml/2006/main" ref="A46:H51" displayName="Programming_Lang_Distribution" name="Programming_Lang_Distribution" id="14">
  <tableColumns count="8">
    <tableColumn name="No" id="1"/>
    <tableColumn name="Batch" id="2"/>
    <tableColumn name="Total Issues (Python)" id="3"/>
    <tableColumn name="Total F2P (Python)" id="4"/>
    <tableColumn name="Total Issues (Typescript)" id="5"/>
    <tableColumn name="Total F2P (Typescript)" id="6"/>
    <tableColumn name="Total Issues (Rust)" id="7"/>
    <tableColumn name="Total F2P (Rust)" id="8"/>
  </tableColumns>
  <tableStyleInfo name="Agent Distribution - GPT-style 4" showColumnStripes="0" showFirstColumn="1" showLastColumn="1" showRowStripes="1"/>
</table>
</file>

<file path=xl/tables/table11.xml><?xml version="1.0" encoding="utf-8"?>
<table xmlns="http://schemas.openxmlformats.org/spreadsheetml/2006/main" ref="A57:Q60" displayName="Summary_of_GPT" name="Summary_of_GPT" id="15">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Agent Distribution - GPT-style 5" showColumnStripes="0" showFirstColumn="1" showLastColumn="1" showRowStripes="1"/>
</table>
</file>

<file path=xl/tables/table12.xml><?xml version="1.0" encoding="utf-8"?>
<table xmlns="http://schemas.openxmlformats.org/spreadsheetml/2006/main" ref="A66:Q69" displayName="Summary_of_Deepseek" name="Summary_of_Deepseek" id="16">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Agent Distribution - GPT-style 6" showColumnStripes="0" showFirstColumn="1" showLastColumn="1" showRowStripes="1"/>
</table>
</file>

<file path=xl/tables/table13.xml><?xml version="1.0" encoding="utf-8"?>
<table xmlns="http://schemas.openxmlformats.org/spreadsheetml/2006/main" ref="A75:Q78" displayName="Summary_of_Kimi" name="Summary_of_Kimi" id="17">
  <tableColumns count="17">
    <tableColumn name="No" id="1"/>
    <tableColumn name="Pipeline" id="2"/>
    <tableColumn name="F2P App (w/ in-Patch)" id="3"/>
    <tableColumn name="F2P App (w/o in-patch)" id="4"/>
    <tableColumn name="F2P App" id="5"/>
    <tableColumn name="F2P Framework (w/ in-Patch)" id="6"/>
    <tableColumn name="F2P Framework (w/o in-patch)" id="7"/>
    <tableColumn name="F2P Framework" id="8"/>
    <tableColumn name="Total F2P (w/ in-patch)" id="9"/>
    <tableColumn name="Total F2P (w/o in-patch)" id="10"/>
    <tableColumn name="Total F2P" id="11"/>
    <tableColumn name="Avg. Duration" id="12"/>
    <tableColumn name="Avg. Cost" id="13"/>
    <tableColumn name="Avg. Token Consumption" id="14"/>
    <tableColumn name="Env. build" id="15"/>
    <tableColumn name="Avg. Input Token" id="16"/>
    <tableColumn name="Avg. Output Token" id="17"/>
  </tableColumns>
  <tableStyleInfo name="Agent Distribution - GPT-style 7" showColumnStripes="0" showFirstColumn="1" showLastColumn="1" showRowStripes="1"/>
</table>
</file>

<file path=xl/tables/table14.xml><?xml version="1.0" encoding="utf-8"?>
<table xmlns="http://schemas.openxmlformats.org/spreadsheetml/2006/main" ref="A3:AJ14" displayName="表格_3" name="表格_3" id="7">
  <tableColumns count="36">
    <tableColumn name="No" id="1"/>
    <tableColumn name="Repository" id="2"/>
    <tableColumn name="Repo link" id="3"/>
    <tableColumn name="Language" id="4"/>
    <tableColumn name="Stars" id="5"/>
    <tableColumn name="License" id="6"/>
    <tableColumn name="Total Issues with In-Patch (on 80)" id="7"/>
    <tableColumn name="Total Issues without In-Patch (on 80)" id="8"/>
    <tableColumn name="Total Issues (on 80)" id="9"/>
    <tableColumn name="Total F2P With In-Patch (on 80)" id="10"/>
    <tableColumn name="Total F2P Without In-Patch (on 80)" id="11"/>
    <tableColumn name="Total F2P (on 80)" id="12"/>
    <tableColumn name="第 13 列" id="13"/>
    <tableColumn name="Total Issues with In-Patch (on 70)" id="14"/>
    <tableColumn name="Total Issues without In-Patch (on 70)" id="15"/>
    <tableColumn name="Total Issues (on 70)" id="16"/>
    <tableColumn name="Total F2P With In-Patch (on 70)" id="17"/>
    <tableColumn name="Total F2P Without In-Patch (on 70)" id="18"/>
    <tableColumn name="Total F2P (on 70)" id="19"/>
    <tableColumn name="Column 17" id="20"/>
    <tableColumn name="Total Issues with In-Patch (on 50)" id="21"/>
    <tableColumn name="Total Issues without In-Patch (on 50)" id="22"/>
    <tableColumn name="Total Issues (on 50)" id="23"/>
    <tableColumn name="Total F2P With In-Patch (on 50)" id="24"/>
    <tableColumn name="Total F2P Without In-Patch (on 50)" id="25"/>
    <tableColumn name="Total F2P (data: 50)" id="26"/>
    <tableColumn name="Column 17 2" id="27"/>
    <tableColumn name="Total Issues with In-Patch (on 25)" id="28"/>
    <tableColumn name="Total Issues without In-Patch (on 25)" id="29"/>
    <tableColumn name="Total Issues (on 25)" id="30"/>
    <tableColumn name="Total F2P With In-Patch (on 25)" id="31"/>
    <tableColumn name="Total F2P Without In-Patch (on 25)" id="32"/>
    <tableColumn name="Total F2P (data: 25)" id="33"/>
    <tableColumn name="Column 17 3" id="34"/>
    <tableColumn name="Total Issues" id="35"/>
    <tableColumn name="Total F2P" id="36"/>
  </tableColumns>
  <tableStyleInfo name="Agent Distribution - Deepseek-style" showColumnStripes="0" showFirstColumn="1" showLastColumn="1" showRowStripes="1"/>
</table>
</file>

<file path=xl/tables/table15.xml><?xml version="1.0" encoding="utf-8"?>
<table xmlns="http://schemas.openxmlformats.org/spreadsheetml/2006/main" totalsRowCount="1" ref="A19:AJ30" displayName="表格_2" name="表格_2" id="9">
  <tableColumns count="36">
    <tableColumn name="No" id="1"/>
    <tableColumn totalsRowLabel="TOTAL" name="Repository" id="2"/>
    <tableColumn name="Repo link" id="3"/>
    <tableColumn name="Language" id="4"/>
    <tableColumn name="Stars" id="5"/>
    <tableColumn name="License" id="6"/>
    <tableColumn totalsRowFunction="custom" name="Total Issues with In-Patch (on 80)" id="7"/>
    <tableColumn totalsRowFunction="custom" name="Total Issues without In-Patch (on 80)" id="8"/>
    <tableColumn totalsRowFunction="custom" name="Total Issues (on 80)" id="9"/>
    <tableColumn totalsRowFunction="custom" name="Total F2P In-Patch (on 80)" id="10"/>
    <tableColumn totalsRowFunction="custom" name="Total F2P No In-Patch (on 80)" id="11"/>
    <tableColumn totalsRowFunction="custom" name="Total F2P (on 80)" id="12"/>
    <tableColumn name="第 13 列" id="13"/>
    <tableColumn totalsRowFunction="custom" name="Total Issues with In-Patch (on 70)" id="14"/>
    <tableColumn totalsRowFunction="custom" name="Total Issues without In-Patch (on 70)" id="15"/>
    <tableColumn totalsRowFunction="custom" name="Total Issues (on 70)" id="16"/>
    <tableColumn totalsRowFunction="custom" name="Total F2P With In-Patch (on 70)" id="17"/>
    <tableColumn totalsRowFunction="custom" name="Total F2P Without In-Patch (on 70)" id="18"/>
    <tableColumn totalsRowFunction="custom" name="Total F2P (on 70)" id="19"/>
    <tableColumn name="Column 17" id="20"/>
    <tableColumn totalsRowFunction="custom" name="Total Issues with In-Patch (on 50)" id="21"/>
    <tableColumn totalsRowFunction="custom" name="Total Issues without In-Patch (on 50)" id="22"/>
    <tableColumn totalsRowFunction="custom" name="Total Issues (on 50)" id="23"/>
    <tableColumn totalsRowFunction="custom" name="Total F2P With In-Patch (on 50)" id="24"/>
    <tableColumn totalsRowFunction="custom" name="Total F2P Without In-Patch (on 50)" id="25"/>
    <tableColumn totalsRowFunction="custom" name="Total F2P (data: 50)" id="26"/>
    <tableColumn name="Column 17 2" id="27"/>
    <tableColumn totalsRowFunction="custom" name="Total Issues with In-Patch (on 25)" id="28"/>
    <tableColumn totalsRowFunction="custom" name="Total Issues without In-Patch (on 25)" id="29"/>
    <tableColumn totalsRowFunction="custom" name="Total Issues (on 25)" id="30"/>
    <tableColumn totalsRowLabel="0" name="Total F2P With In-Patch (on 25)" id="31"/>
    <tableColumn totalsRowFunction="custom" name="Total F2P Without In-Patch (on 25)" id="32"/>
    <tableColumn totalsRowFunction="custom" name="Total F2P (data: 25)" id="33"/>
    <tableColumn name="Column 17 3" id="34"/>
    <tableColumn totalsRowFunction="custom" name="Total Issues" id="35"/>
    <tableColumn totalsRowFunction="custom" name="Total F2P" id="36"/>
  </tableColumns>
  <tableStyleInfo name="Agent Distribution - Deepseek-style 2" showColumnStripes="0" showFirstColumn="1" showLastColumn="1" showRowStripes="1"/>
</table>
</file>

<file path=xl/tables/table16.xml><?xml version="1.0" encoding="utf-8"?>
<table xmlns="http://schemas.openxmlformats.org/spreadsheetml/2006/main" totalsRowCount="1" ref="A35:I40" displayName="表格_7" name="表格_7" id="11">
  <tableColumns count="9">
    <tableColumn name="No" id="1"/>
    <tableColumn totalsRowLabel="TOTAL" name="Batch" id="2"/>
    <tableColumn totalsRowFunction="custom" name="Issues with In-Patch" id="3"/>
    <tableColumn totalsRowFunction="custom" name="Issues without In-Patch" id="4"/>
    <tableColumn totalsRowFunction="custom" name="F2P with In-Patch" id="5"/>
    <tableColumn totalsRowFunction="custom" name="F2P without In-Patch" id="6"/>
    <tableColumn totalsRowFunction="custom" name="Total F2P" id="7"/>
    <tableColumn totalsRowFunction="custom" name="SWE-Factory F2P" id="8"/>
    <tableColumn totalsRowFunction="custom" name="SWE-bench-Live F2P" id="9"/>
  </tableColumns>
  <tableStyleInfo name="Agent Distribution - Deepseek-style 3" showColumnStripes="0" showFirstColumn="1" showLastColumn="1" showRowStripes="1"/>
</table>
</file>

<file path=xl/tables/table17.xml><?xml version="1.0" encoding="utf-8"?>
<table xmlns="http://schemas.openxmlformats.org/spreadsheetml/2006/main" ref="A46:H51" displayName="表格_8" name="表格_8" id="13">
  <tableColumns count="8">
    <tableColumn name="No" id="1"/>
    <tableColumn name="Batch" id="2"/>
    <tableColumn name="Total Issues (Python)" id="3"/>
    <tableColumn name="Total F2P (Python)" id="4"/>
    <tableColumn name="Total Issues (Typescript)" id="5"/>
    <tableColumn name="Total F2P (Typescript)" id="6"/>
    <tableColumn name="Total Issues (Rust)" id="7"/>
    <tableColumn name="Total F2P (Rust)" id="8"/>
  </tableColumns>
  <tableStyleInfo name="Agent Distribution - Deepseek-style 4" showColumnStripes="0" showFirstColumn="1" showLastColumn="1" showRowStripes="1"/>
</table>
</file>

<file path=xl/tables/table18.xml><?xml version="1.0" encoding="utf-8"?>
<table xmlns="http://schemas.openxmlformats.org/spreadsheetml/2006/main" ref="A3:AJ14" displayName="表格_6" name="表格_6" id="18">
  <tableColumns count="36">
    <tableColumn name="No" id="1"/>
    <tableColumn name="Repository" id="2"/>
    <tableColumn name="Repo link" id="3"/>
    <tableColumn name="Language" id="4"/>
    <tableColumn name="Stars" id="5"/>
    <tableColumn name="License" id="6"/>
    <tableColumn name="Total Issues with In-Patch (on 80)" id="7"/>
    <tableColumn name="Total Issues without In-Patch (on 80)" id="8"/>
    <tableColumn name="Total Issues (on 80)" id="9"/>
    <tableColumn name="Total F2P With In-Patch (on 80)" id="10"/>
    <tableColumn name="Total F2P Without In-Patch (on 80)" id="11"/>
    <tableColumn name="Total F2P (on 80)" id="12"/>
    <tableColumn name="第 13 列" id="13"/>
    <tableColumn name="Total Issues with In-Patch (on 70)" id="14"/>
    <tableColumn name="Total Issues without In-Patch (on 70)" id="15"/>
    <tableColumn name="Total Issues (on 70)" id="16"/>
    <tableColumn name="Total F2P With In-Patch (on 70)" id="17"/>
    <tableColumn name="Total F2P Without In-Patch (on 70)" id="18"/>
    <tableColumn name="Total F2P (on 70)" id="19"/>
    <tableColumn name="Column 17" id="20"/>
    <tableColumn name="Total Issues with In-Patch (on 50)" id="21"/>
    <tableColumn name="Total Issues without In-Patch (on 50)" id="22"/>
    <tableColumn name="Total Issues (on 50)" id="23"/>
    <tableColumn name="Total F2P With In-Patch (on 50)" id="24"/>
    <tableColumn name="Total F2P Without In-Patch (on 50)" id="25"/>
    <tableColumn name="Total F2P (data: 50)" id="26"/>
    <tableColumn name="Column 17 2" id="27"/>
    <tableColumn name="Total Issues with In-Patch (on 25)" id="28"/>
    <tableColumn name="Total Issues without In-Patch (on 25)" id="29"/>
    <tableColumn name="Total Issues (on 25)" id="30"/>
    <tableColumn name="Total F2P With In-Patch (on 25)" id="31"/>
    <tableColumn name="Total F2P Without In-Patch (on 25)" id="32"/>
    <tableColumn name="Total F2P (data: 25)" id="33"/>
    <tableColumn name="Column 17 3" id="34"/>
    <tableColumn name="Total Issues" id="35"/>
    <tableColumn name="Total F2P" id="36"/>
  </tableColumns>
  <tableStyleInfo name="Agent Distribution - Kimi-style" showColumnStripes="0" showFirstColumn="1" showLastColumn="1" showRowStripes="1"/>
</table>
</file>

<file path=xl/tables/table19.xml><?xml version="1.0" encoding="utf-8"?>
<table xmlns="http://schemas.openxmlformats.org/spreadsheetml/2006/main" totalsRowCount="1" ref="A19:AJ30" displayName="表格_5" name="表格_5" id="19">
  <tableColumns count="36">
    <tableColumn name="No" id="1"/>
    <tableColumn totalsRowLabel="TOTAL" name="Repository" id="2"/>
    <tableColumn name="Repo link" id="3"/>
    <tableColumn name="Language" id="4"/>
    <tableColumn name="Stars" id="5"/>
    <tableColumn name="License" id="6"/>
    <tableColumn totalsRowFunction="custom" name="Total Issues with In-Patch (on 80)" id="7"/>
    <tableColumn totalsRowFunction="custom" name="Total Issues without In-Patch (on 80)" id="8"/>
    <tableColumn totalsRowFunction="custom" name="Total Issues (on 80)" id="9"/>
    <tableColumn totalsRowFunction="custom" name="Total F2P In-Patch (on 80)" id="10"/>
    <tableColumn totalsRowFunction="custom" name="Total F2P No In-Patch (on 80)" id="11"/>
    <tableColumn totalsRowFunction="custom" name="Total F2P (on 80)" id="12"/>
    <tableColumn name="第 13 列" id="13"/>
    <tableColumn totalsRowFunction="custom" name="Total Issues with In-Patch (on 70)" id="14"/>
    <tableColumn totalsRowFunction="custom" name="Total Issues without In-Patch (on 70)" id="15"/>
    <tableColumn totalsRowFunction="custom" name="Total Issues (on 70)" id="16"/>
    <tableColumn totalsRowFunction="custom" name="Total F2P With In-Patch (on 70)" id="17"/>
    <tableColumn totalsRowFunction="custom" name="Total F2P Without In-Patch (on 70)" id="18"/>
    <tableColumn totalsRowFunction="custom" name="Total F2P (on 70)" id="19"/>
    <tableColumn name="Column 17" id="20"/>
    <tableColumn totalsRowFunction="custom" name="Total Issues with In-Patch (on 50)" id="21"/>
    <tableColumn totalsRowFunction="custom" name="Total Issues without In-Patch (on 50)" id="22"/>
    <tableColumn totalsRowFunction="custom" name="Total Issues (on 50)" id="23"/>
    <tableColumn totalsRowFunction="custom" name="Total F2P With In-Patch (on 50)" id="24"/>
    <tableColumn totalsRowFunction="custom" name="Total F2P Without In-Patch (on 50)" id="25"/>
    <tableColumn totalsRowFunction="custom" name="Total F2P (data: 50)" id="26"/>
    <tableColumn name="Column 17 2" id="27"/>
    <tableColumn totalsRowFunction="custom" name="Total Issues with In-Patch (on 25)" id="28"/>
    <tableColumn totalsRowFunction="custom" name="Total Issues without In-Patch (on 25)" id="29"/>
    <tableColumn totalsRowFunction="custom" name="Total Issues (on 25)" id="30"/>
    <tableColumn totalsRowLabel="0" name="Total F2P With In-Patch (on 25)" id="31"/>
    <tableColumn totalsRowFunction="custom" name="Total F2P Without In-Patch (on 25)" id="32"/>
    <tableColumn totalsRowFunction="custom" name="Total F2P (data: 25)" id="33"/>
    <tableColumn name="Column 17 3" id="34"/>
    <tableColumn totalsRowFunction="custom" name="Total Issues" id="35"/>
    <tableColumn totalsRowFunction="custom" name="Total F2P" id="36"/>
  </tableColumns>
  <tableStyleInfo name="Agent Distribution - Kimi-style 2" showColumnStripes="0" showFirstColumn="1" showLastColumn="1" showRowStripes="1"/>
</table>
</file>

<file path=xl/tables/table20.xml><?xml version="1.0" encoding="utf-8"?>
<table xmlns="http://schemas.openxmlformats.org/spreadsheetml/2006/main" totalsRowCount="1" ref="A35:I40" displayName="表格_4" name="表格_4" id="20">
  <tableColumns count="9">
    <tableColumn name="No" id="1"/>
    <tableColumn totalsRowLabel="TOTAL" name="Batch" id="2"/>
    <tableColumn totalsRowFunction="custom" name="Issues with In-Patch" id="3"/>
    <tableColumn totalsRowFunction="custom" name="Issues without In-Patch" id="4"/>
    <tableColumn totalsRowFunction="custom" name="F2P with In-Patch" id="5"/>
    <tableColumn totalsRowFunction="custom" name="F2P without In-Patch" id="6"/>
    <tableColumn totalsRowFunction="custom" name="Total F2P" id="7"/>
    <tableColumn totalsRowFunction="custom" name="SWE-Factory F2P" id="8"/>
    <tableColumn totalsRowFunction="custom" name="SWE-bench-Live F2P" id="9"/>
  </tableColumns>
  <tableStyleInfo name="Agent Distribution - Kimi-style 3" showColumnStripes="0" showFirstColumn="1" showLastColumn="1" showRowStripes="1"/>
</table>
</file>

<file path=xl/tables/table21.xml><?xml version="1.0" encoding="utf-8"?>
<table xmlns="http://schemas.openxmlformats.org/spreadsheetml/2006/main" ref="A46:H51" displayName="表格" name="表格" id="21">
  <tableColumns count="8">
    <tableColumn name="No" id="1"/>
    <tableColumn name="Batch" id="2"/>
    <tableColumn name="Total Issues (Python)" id="3"/>
    <tableColumn name="Total F2P (Python)" id="4"/>
    <tableColumn name="Total Issues (Typescript)" id="5"/>
    <tableColumn name="Total F2P (Typescript)" id="6"/>
    <tableColumn name="Total Issues (Rust)" id="7"/>
    <tableColumn name="Total F2P (Rust)" id="8"/>
  </tableColumns>
  <tableStyleInfo name="Agent Distribution - Kimi-style 4" showColumnStripes="0" showFirstColumn="1" showLastColumn="1" showRowStripes="1"/>
</table>
</file>

<file path=xl/tables/table22.xml><?xml version="1.0" encoding="utf-8"?>
<table xmlns="http://schemas.openxmlformats.org/spreadsheetml/2006/main" ref="A3:O6" displayName="GPT_80" name="GPT_80" id="23">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showColumnStripes="0" showFirstColumn="1" showLastColumn="1" showRowStripes="1"/>
</table>
</file>

<file path=xl/tables/table23.xml><?xml version="1.0" encoding="utf-8"?>
<table xmlns="http://schemas.openxmlformats.org/spreadsheetml/2006/main" ref="A39:O42" displayName="GPT_70" name="GPT_70" id="24">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2" showColumnStripes="0" showFirstColumn="1" showLastColumn="1" showRowStripes="1"/>
</table>
</file>

<file path=xl/tables/table24.xml><?xml version="1.0" encoding="utf-8"?>
<table xmlns="http://schemas.openxmlformats.org/spreadsheetml/2006/main" ref="A55:O58" displayName="GPT_50" name="GPT_50" id="25">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3" showColumnStripes="0" showFirstColumn="1" showLastColumn="1" showRowStripes="1"/>
</table>
</file>

<file path=xl/tables/table25.xml><?xml version="1.0" encoding="utf-8"?>
<table xmlns="http://schemas.openxmlformats.org/spreadsheetml/2006/main" ref="A88:O91" displayName="GPT_25" name="GPT_25" id="26">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4" showColumnStripes="0" showFirstColumn="1" showLastColumn="1" showRowStripes="1"/>
</table>
</file>

<file path=xl/tables/table26.xml><?xml version="1.0" encoding="utf-8"?>
<table xmlns="http://schemas.openxmlformats.org/spreadsheetml/2006/main" ref="A107:O110" displayName="DeepSeek_80" name="DeepSeek_80" id="27">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5" showColumnStripes="0" showFirstColumn="1" showLastColumn="1" showRowStripes="1"/>
</table>
</file>

<file path=xl/tables/table27.xml><?xml version="1.0" encoding="utf-8"?>
<table xmlns="http://schemas.openxmlformats.org/spreadsheetml/2006/main" ref="A153:O156" displayName="DeepSeek_70" name="DeepSeek_70" id="28">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6" showColumnStripes="0" showFirstColumn="1" showLastColumn="1" showRowStripes="1"/>
</table>
</file>

<file path=xl/tables/table28.xml><?xml version="1.0" encoding="utf-8"?>
<table xmlns="http://schemas.openxmlformats.org/spreadsheetml/2006/main" ref="A171:O174" displayName="DeepSeek_50" name="DeepSeek_50" id="29">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7" showColumnStripes="0" showFirstColumn="1" showLastColumn="1" showRowStripes="1"/>
</table>
</file>

<file path=xl/tables/table29.xml><?xml version="1.0" encoding="utf-8"?>
<table xmlns="http://schemas.openxmlformats.org/spreadsheetml/2006/main" ref="A204:O207" displayName="DeepSeek_25" name="DeepSeek_25" id="30">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With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8" showColumnStripes="0" showFirstColumn="1" showLastColumn="1" showRowStripes="1"/>
</table>
</file>

<file path=xl/tables/table30.xml><?xml version="1.0" encoding="utf-8"?>
<table xmlns="http://schemas.openxmlformats.org/spreadsheetml/2006/main" ref="A220:O223" displayName="Kimi_80" name="Kimi_80" id="31">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9" showColumnStripes="0" showFirstColumn="1" showLastColumn="1" showRowStripes="1"/>
</table>
</file>

<file path=xl/tables/table31.xml><?xml version="1.0" encoding="utf-8"?>
<table xmlns="http://schemas.openxmlformats.org/spreadsheetml/2006/main" ref="A260:O263" displayName="Kimi_70" name="Kimi_70" id="32">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10" showColumnStripes="0" showFirstColumn="1" showLastColumn="1" showRowStripes="1"/>
</table>
</file>

<file path=xl/tables/table32.xml><?xml version="1.0" encoding="utf-8"?>
<table xmlns="http://schemas.openxmlformats.org/spreadsheetml/2006/main" ref="A277:O280" displayName="Kimi_50" name="Kimi_50" id="33">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11" showColumnStripes="0" showFirstColumn="1" showLastColumn="1" showRowStripes="1"/>
</table>
</file>

<file path=xl/tables/table33.xml><?xml version="1.0" encoding="utf-8"?>
<table xmlns="http://schemas.openxmlformats.org/spreadsheetml/2006/main" ref="A297:O300" displayName="Kimi_25" name="Kimi_25" id="34">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Total F2P Without In-Patch" id="9"/>
    <tableColumn name="Env Build" id="10"/>
    <tableColumn name="Total Duration" id="11"/>
    <tableColumn name="Avg. Duration" id="12"/>
    <tableColumn name="Total Cost" id="13"/>
    <tableColumn name="Avg. Cost" id="14"/>
    <tableColumn name="Total Token" id="15"/>
  </tableColumns>
  <tableStyleInfo name="Summary of Experiments-style 12" showColumnStripes="0" showFirstColumn="1" showLastColumn="1" showRowStripes="1"/>
</table>
</file>

<file path=xl/tables/table34.xml><?xml version="1.0" encoding="utf-8"?>
<table xmlns="http://schemas.openxmlformats.org/spreadsheetml/2006/main" ref="A23:O26" displayName="表格_1" name="表格_1" id="22">
  <tableColumns count="15">
    <tableColumn name="No" id="1"/>
    <tableColumn name="Pipeline/Baseline" id="2"/>
    <tableColumn name="F2P on Agent Applications" id="3"/>
    <tableColumn name="F2P on Agent Frameworks" id="4"/>
    <tableColumn name="Total F2P" id="5"/>
    <tableColumn name="F2P In-Patch on Agent Applications" id="6"/>
    <tableColumn name="F2P In-Patch on Agent Frameworks" id="7"/>
    <tableColumn name="Total F2P In-Patch" id="8"/>
    <tableColumn name="Column 15" id="9"/>
    <tableColumn name="Env Build" id="10"/>
    <tableColumn name="Total Duration" id="11"/>
    <tableColumn name="Avg. Duration" id="12"/>
    <tableColumn name="Total Cost" id="13"/>
    <tableColumn name="Avg. Cost" id="14"/>
    <tableColumn name="Total Token" id="15"/>
  </tableColumns>
  <tableStyleInfo name="Misc-style" showColumnStripes="0" showFirstColumn="1" showLastColumn="1" showRowStripes="1"/>
</table>
</file>

<file path=xl/tables/table35.xml><?xml version="1.0" encoding="utf-8"?>
<table xmlns="http://schemas.openxmlformats.org/spreadsheetml/2006/main" headerRowCount="0" ref="B2:K46" displayName="Table_4" name="Table_4" id="3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pt-4.1-mini-style" showColumnStripes="0" showFirstColumn="1" showLastColumn="1" showRowStripes="1"/>
</table>
</file>

<file path=xl/tables/table36.xml><?xml version="1.0" encoding="utf-8"?>
<table xmlns="http://schemas.openxmlformats.org/spreadsheetml/2006/main" headerRowCount="0" ref="B2:K41" displayName="Table_5" name="Table_5" id="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laude-opus-4-6-style" showColumnStripes="0" showFirstColumn="1" showLastColumn="1" showRowStripes="1"/>
</table>
</file>

<file path=xl/tables/table37.xml><?xml version="1.0" encoding="utf-8"?>
<table xmlns="http://schemas.openxmlformats.org/spreadsheetml/2006/main" headerRowCount="0" ref="B2:K41" displayName="Table_6" name="Table_6" id="3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epsek-v3-style" showColumnStripes="0" showFirstColumn="1" showLastColumn="1" showRowStripes="1"/>
</table>
</file>

<file path=xl/tables/table38.xml><?xml version="1.0" encoding="utf-8"?>
<table xmlns="http://schemas.openxmlformats.org/spreadsheetml/2006/main" ref="A1:L61" displayName="Issues" name="Issues" id="38">
  <tableColumns count="12">
    <tableColumn name="No" id="1"/>
    <tableColumn name="Agent" id="2"/>
    <tableColumn name="Issue Number" id="3"/>
    <tableColumn name="Language" id="4"/>
    <tableColumn name="Docker Build" id="5"/>
    <tableColumn name="Test Script" id="6"/>
    <tableColumn name="E2E Pipeline" id="7"/>
    <tableColumn name="Where the error come from" id="8"/>
    <tableColumn name="Root Cause" id="9"/>
    <tableColumn name="Can be fixed?" id="10"/>
    <tableColumn name="Next Error" id="11"/>
    <tableColumn name="Assigned to" id="12"/>
  </tableColumns>
  <tableStyleInfo name="List of Iss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lobehub/lobehub" TargetMode="External"/><Relationship Id="rId11" Type="http://schemas.openxmlformats.org/officeDocument/2006/relationships/hyperlink" Target="https://github.com/Significant-Gravitas/AutoGPT" TargetMode="External"/><Relationship Id="rId10" Type="http://schemas.openxmlformats.org/officeDocument/2006/relationships/hyperlink" Target="https://github.com/tensorzero/tensorzero" TargetMode="External"/><Relationship Id="rId21" Type="http://schemas.openxmlformats.org/officeDocument/2006/relationships/drawing" Target="../drawings/drawing1.xml"/><Relationship Id="rId13" Type="http://schemas.openxmlformats.org/officeDocument/2006/relationships/hyperlink" Target="https://github.com/always-further/AgentUp/issues/256" TargetMode="External"/><Relationship Id="rId12" Type="http://schemas.openxmlformats.org/officeDocument/2006/relationships/hyperlink" Target="https://github.com/MLSysOps/MLE-agent/issues/56" TargetMode="External"/><Relationship Id="rId1" Type="http://schemas.openxmlformats.org/officeDocument/2006/relationships/hyperlink" Target="https://github.com/dapr/dapr-agents/issues/83" TargetMode="External"/><Relationship Id="rId2" Type="http://schemas.openxmlformats.org/officeDocument/2006/relationships/hyperlink" Target="https://github.com/VoltAgent/voltagent/issues/87" TargetMode="External"/><Relationship Id="rId3" Type="http://schemas.openxmlformats.org/officeDocument/2006/relationships/hyperlink" Target="https://github.com/agentscope-ai/agentscope/issues/71" TargetMode="External"/><Relationship Id="rId4" Type="http://schemas.openxmlformats.org/officeDocument/2006/relationships/hyperlink" Target="https://github.com/crewAIInc/crewAI" TargetMode="External"/><Relationship Id="rId9" Type="http://schemas.openxmlformats.org/officeDocument/2006/relationships/hyperlink" Target="https://github.com/geekan/MetaGPT" TargetMode="External"/><Relationship Id="rId15" Type="http://schemas.openxmlformats.org/officeDocument/2006/relationships/hyperlink" Target="https://github.com/reworkd/AgentGPT" TargetMode="External"/><Relationship Id="rId14" Type="http://schemas.openxmlformats.org/officeDocument/2006/relationships/hyperlink" Target="https://github.com/Canner/WrenAI" TargetMode="External"/><Relationship Id="rId17" Type="http://schemas.openxmlformats.org/officeDocument/2006/relationships/hyperlink" Target="https://github.com/ValueCell-ai/valuecell" TargetMode="External"/><Relationship Id="rId16" Type="http://schemas.openxmlformats.org/officeDocument/2006/relationships/hyperlink" Target="https://github.com/Aider-AI/aider" TargetMode="External"/><Relationship Id="rId5" Type="http://schemas.openxmlformats.org/officeDocument/2006/relationships/hyperlink" Target="https://github.com/strands-agents/sdk-python" TargetMode="External"/><Relationship Id="rId19" Type="http://schemas.openxmlformats.org/officeDocument/2006/relationships/hyperlink" Target="https://github.com/OpenInterpreter/open-interpreter" TargetMode="External"/><Relationship Id="rId6" Type="http://schemas.openxmlformats.org/officeDocument/2006/relationships/hyperlink" Target="https://github.com/mastra-ai/mastra" TargetMode="External"/><Relationship Id="rId18" Type="http://schemas.openxmlformats.org/officeDocument/2006/relationships/hyperlink" Target="https://github.com/AntonOsika/gpt-engineer" TargetMode="External"/><Relationship Id="rId7" Type="http://schemas.openxmlformats.org/officeDocument/2006/relationships/hyperlink" Target="https://github.com/langchain-ai/langgraph" TargetMode="External"/><Relationship Id="rId8" Type="http://schemas.openxmlformats.org/officeDocument/2006/relationships/hyperlink" Target="https://github.com/langflow-ai/langflow"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ithub.com/EaminC/AgentBug-Smith/blob/main/data/issues_70/issue_184.json" TargetMode="External"/><Relationship Id="rId194" Type="http://schemas.openxmlformats.org/officeDocument/2006/relationships/hyperlink" Target="https://github.com/EaminC/AgentBug-Smith/blob/main/data/issues_70/issue_220.json" TargetMode="External"/><Relationship Id="rId193" Type="http://schemas.openxmlformats.org/officeDocument/2006/relationships/hyperlink" Target="https://github.com/EaminC/AgentBug-Smith/tree/main/results/all_combined_f2p/issue_322_20260731T162619Z" TargetMode="External"/><Relationship Id="rId192" Type="http://schemas.openxmlformats.org/officeDocument/2006/relationships/hyperlink" Target="https://github.com/EaminC/AgentBug-Smith/blob/main/data/issues_70/issue_211.json" TargetMode="External"/><Relationship Id="rId191" Type="http://schemas.openxmlformats.org/officeDocument/2006/relationships/hyperlink" Target="https://github.com/EaminC/AgentBug-Smith/tree/main/results/all_combined_f2p/issue_3112_20260804T212932Z" TargetMode="External"/><Relationship Id="rId187" Type="http://schemas.openxmlformats.org/officeDocument/2006/relationships/hyperlink" Target="https://github.com/EaminC/AgentBug-Smith/tree/main/results/all_combined_f2p/issue_2968_20260717T205549Z" TargetMode="External"/><Relationship Id="rId186" Type="http://schemas.openxmlformats.org/officeDocument/2006/relationships/hyperlink" Target="https://github.com/EaminC/AgentBug-Smith/blob/main/data/issues_70/issue_160.json" TargetMode="External"/><Relationship Id="rId185" Type="http://schemas.openxmlformats.org/officeDocument/2006/relationships/hyperlink" Target="https://github.com/EaminC/AgentBug-Smith/tree/main/results/all_combined_f2p/issue_2910_20260826T221655Z" TargetMode="External"/><Relationship Id="rId184" Type="http://schemas.openxmlformats.org/officeDocument/2006/relationships/hyperlink" Target="https://github.com/EaminC/AgentBug-Smith/blob/main/data/issues_70/issue_1539.json" TargetMode="External"/><Relationship Id="rId189" Type="http://schemas.openxmlformats.org/officeDocument/2006/relationships/hyperlink" Target="https://github.com/EaminC/AgentBug-Smith/tree/main/results/all_combined_f2p/issue_298_20260622T123423Z" TargetMode="External"/><Relationship Id="rId188" Type="http://schemas.openxmlformats.org/officeDocument/2006/relationships/hyperlink" Target="https://github.com/EaminC/AgentBug-Smith/blob/main/data/issues_70/issue_166.json" TargetMode="External"/><Relationship Id="rId183" Type="http://schemas.openxmlformats.org/officeDocument/2006/relationships/hyperlink" Target="https://github.com/EaminC/AgentBug-Smith/tree/main/results/all_combined_f2p/issue_29_20260614T084508Z" TargetMode="External"/><Relationship Id="rId182" Type="http://schemas.openxmlformats.org/officeDocument/2006/relationships/hyperlink" Target="https://github.com/EaminC/AgentBug-Smith/blob/main/data/issues_70/issue_149.json" TargetMode="External"/><Relationship Id="rId181" Type="http://schemas.openxmlformats.org/officeDocument/2006/relationships/hyperlink" Target="https://github.com/EaminC/AgentBug-Smith/tree/main/results/all_combined_f2p/issue_2899_20260524T021939Z" TargetMode="External"/><Relationship Id="rId180" Type="http://schemas.openxmlformats.org/officeDocument/2006/relationships/hyperlink" Target="https://github.com/EaminC/AgentBug-Smith/blob/main/data/issues_70/issue_1430.json" TargetMode="External"/><Relationship Id="rId176" Type="http://schemas.openxmlformats.org/officeDocument/2006/relationships/hyperlink" Target="https://github.com/EaminC/AgentBug-Smith/blob/main/data/issues_70/issue_1275.json" TargetMode="External"/><Relationship Id="rId297" Type="http://schemas.openxmlformats.org/officeDocument/2006/relationships/hyperlink" Target="https://github.com/EaminC/AgentBug-Smith/blob/main/data/issues_80/issue_313.json" TargetMode="External"/><Relationship Id="rId175" Type="http://schemas.openxmlformats.org/officeDocument/2006/relationships/hyperlink" Target="https://github.com/EaminC/AgentBug-Smith/tree/main/results/all_combined_f2p/issue_266_20260622T100845Z" TargetMode="External"/><Relationship Id="rId296" Type="http://schemas.openxmlformats.org/officeDocument/2006/relationships/hyperlink" Target="https://github.com/EaminC/AgentBug-Smith/blob/main/data/issues_80/issue_29.json" TargetMode="External"/><Relationship Id="rId174" Type="http://schemas.openxmlformats.org/officeDocument/2006/relationships/hyperlink" Target="https://github.com/EaminC/AgentBug-Smith/blob/main/data/issues_70/issue_1220.json" TargetMode="External"/><Relationship Id="rId295" Type="http://schemas.openxmlformats.org/officeDocument/2006/relationships/hyperlink" Target="https://github.com/EaminC/AgentBug-Smith/blob/main/data/issues_80/issue_288.json" TargetMode="External"/><Relationship Id="rId173" Type="http://schemas.openxmlformats.org/officeDocument/2006/relationships/hyperlink" Target="https://github.com/EaminC/AgentBug-Smith/tree/main/results/all_combined_f2p/issue_2652_20260823T183858Z" TargetMode="External"/><Relationship Id="rId294" Type="http://schemas.openxmlformats.org/officeDocument/2006/relationships/hyperlink" Target="https://github.com/EaminC/AgentBug-Smith/blob/main/data/issues_80/issue_273.json" TargetMode="External"/><Relationship Id="rId179" Type="http://schemas.openxmlformats.org/officeDocument/2006/relationships/hyperlink" Target="https://github.com/EaminC/AgentBug-Smith/tree/main/results/all_combined_f2p/issue_2789_20260804T104755Z" TargetMode="External"/><Relationship Id="rId178" Type="http://schemas.openxmlformats.org/officeDocument/2006/relationships/hyperlink" Target="https://github.com/EaminC/AgentBug-Smith/blob/main/data/issues_70/issue_1327.json" TargetMode="External"/><Relationship Id="rId299" Type="http://schemas.openxmlformats.org/officeDocument/2006/relationships/hyperlink" Target="https://github.com/EaminC/AgentBug-Smith/blob/main/data/issues_80/issue_33.json" TargetMode="External"/><Relationship Id="rId177" Type="http://schemas.openxmlformats.org/officeDocument/2006/relationships/hyperlink" Target="https://github.com/EaminC/AgentBug-Smith/tree/main/results/all_combined_f2p/issue_270_20260521T095849Z" TargetMode="External"/><Relationship Id="rId298" Type="http://schemas.openxmlformats.org/officeDocument/2006/relationships/hyperlink" Target="https://github.com/EaminC/AgentBug-Smith/blob/main/data/issues_80/issue_325.json" TargetMode="External"/><Relationship Id="rId198" Type="http://schemas.openxmlformats.org/officeDocument/2006/relationships/hyperlink" Target="https://github.com/EaminC/AgentBug-Smith/blob/main/data/issues_70/issue_253.json" TargetMode="External"/><Relationship Id="rId197" Type="http://schemas.openxmlformats.org/officeDocument/2006/relationships/hyperlink" Target="https://github.com/EaminC/AgentBug-Smith/tree/main/results/all_combined_f2p/issue_3266_20260805T121048Z" TargetMode="External"/><Relationship Id="rId196" Type="http://schemas.openxmlformats.org/officeDocument/2006/relationships/hyperlink" Target="https://github.com/EaminC/AgentBug-Smith/blob/main/data/issues_70/issue_245.json" TargetMode="External"/><Relationship Id="rId195" Type="http://schemas.openxmlformats.org/officeDocument/2006/relationships/hyperlink" Target="https://github.com/EaminC/AgentBug-Smith/tree/main/results/all_combined_f2p/issue_3226_20260822T080137Z" TargetMode="External"/><Relationship Id="rId199" Type="http://schemas.openxmlformats.org/officeDocument/2006/relationships/hyperlink" Target="https://github.com/EaminC/AgentBug-Smith/tree/main/results/all_combined_f2p/issue_33_MLE_20260614T100655Z" TargetMode="External"/><Relationship Id="rId150" Type="http://schemas.openxmlformats.org/officeDocument/2006/relationships/hyperlink" Target="https://github.com/EaminC/AgentBug-Smith/blob/main/data/issues_80/issue_91.json" TargetMode="External"/><Relationship Id="rId271" Type="http://schemas.openxmlformats.org/officeDocument/2006/relationships/hyperlink" Target="https://github.com/EaminC/AgentBug-Smith/blob/main/data/issues_80/issue_1222.json" TargetMode="External"/><Relationship Id="rId392" Type="http://schemas.openxmlformats.org/officeDocument/2006/relationships/hyperlink" Target="https://github.com/EaminC/AgentBug-Smith/blob/main/data/issues_70/issue_5781.json" TargetMode="External"/><Relationship Id="rId270" Type="http://schemas.openxmlformats.org/officeDocument/2006/relationships/hyperlink" Target="https://github.com/EaminC/AgentBug-Smith/blob/main/data/issues_80/issue_121.json" TargetMode="External"/><Relationship Id="rId391" Type="http://schemas.openxmlformats.org/officeDocument/2006/relationships/hyperlink" Target="https://github.com/EaminC/AgentBug-Smith/blob/main/data/issues_70/issue_5616.json" TargetMode="External"/><Relationship Id="rId390" Type="http://schemas.openxmlformats.org/officeDocument/2006/relationships/hyperlink" Target="https://github.com/EaminC/AgentBug-Smith/blob/main/data/issues_70/issue_5517.json" TargetMode="External"/><Relationship Id="rId1" Type="http://schemas.openxmlformats.org/officeDocument/2006/relationships/hyperlink" Target="https://github.com/EaminC/AgentBug-Smith/tree/main/results/all_combined_f2p/issue_1020_20260814T120504Z" TargetMode="External"/><Relationship Id="rId2" Type="http://schemas.openxmlformats.org/officeDocument/2006/relationships/hyperlink" Target="https://github.com/EaminC/AgentBug-Smith/blob/main/data/issues_80/issue_1037.json" TargetMode="External"/><Relationship Id="rId3" Type="http://schemas.openxmlformats.org/officeDocument/2006/relationships/hyperlink" Target="https://github.com/EaminC/AgentBug-Smith/tree/main/results/all_combined_f2p/issue_1067_20260814T123127Z" TargetMode="External"/><Relationship Id="rId149" Type="http://schemas.openxmlformats.org/officeDocument/2006/relationships/hyperlink" Target="https://github.com/EaminC/AgentBug-Smith/tree/main/results/all_combined_f2p/issue_2207_20260809T152833Z" TargetMode="External"/><Relationship Id="rId4" Type="http://schemas.openxmlformats.org/officeDocument/2006/relationships/hyperlink" Target="https://github.com/EaminC/AgentBug-Smith/blob/main/data/issues_80/issue_109.json" TargetMode="External"/><Relationship Id="rId148" Type="http://schemas.openxmlformats.org/officeDocument/2006/relationships/hyperlink" Target="https://github.com/EaminC/AgentBug-Smith/blob/main/data/issues_80/issue_878.json" TargetMode="External"/><Relationship Id="rId269" Type="http://schemas.openxmlformats.org/officeDocument/2006/relationships/hyperlink" Target="https://github.com/EaminC/AgentBug-Smith/blob/main/data/issues_80/issue_1197.json" TargetMode="External"/><Relationship Id="rId9" Type="http://schemas.openxmlformats.org/officeDocument/2006/relationships/hyperlink" Target="https://github.com/EaminC/AgentBug-Smith/tree/main/results/all_combined_f2p/issue_1131_20260814T215507Z" TargetMode="External"/><Relationship Id="rId143" Type="http://schemas.openxmlformats.org/officeDocument/2006/relationships/hyperlink" Target="https://github.com/EaminC/AgentBug-Smith/tree/main/results/all_combined_f2p/issue_2177_20260810T100457Z" TargetMode="External"/><Relationship Id="rId264" Type="http://schemas.openxmlformats.org/officeDocument/2006/relationships/hyperlink" Target="https://github.com/EaminC/AgentBug-Smith/blob/main/data/issues_70/issue_650.json" TargetMode="External"/><Relationship Id="rId385" Type="http://schemas.openxmlformats.org/officeDocument/2006/relationships/hyperlink" Target="https://github.com/EaminC/AgentBug-Smith/blob/main/data/issues_70/issue_5338.json" TargetMode="External"/><Relationship Id="rId142" Type="http://schemas.openxmlformats.org/officeDocument/2006/relationships/hyperlink" Target="https://github.com/EaminC/AgentBug-Smith/blob/main/data/issues_80/issue_793.json" TargetMode="External"/><Relationship Id="rId263" Type="http://schemas.openxmlformats.org/officeDocument/2006/relationships/hyperlink" Target="https://github.com/EaminC/AgentBug-Smith/tree/main/results/all_combined_f2p/issue_974_20260811T072652Z" TargetMode="External"/><Relationship Id="rId384" Type="http://schemas.openxmlformats.org/officeDocument/2006/relationships/hyperlink" Target="https://github.com/EaminC/AgentBug-Smith/blob/main/data/issues_70/issue_5178.json" TargetMode="External"/><Relationship Id="rId141" Type="http://schemas.openxmlformats.org/officeDocument/2006/relationships/hyperlink" Target="https://github.com/EaminC/AgentBug-Smith/tree/main/results/all_combined_f2p/issue_2166_20260808T214256Z" TargetMode="External"/><Relationship Id="rId262" Type="http://schemas.openxmlformats.org/officeDocument/2006/relationships/hyperlink" Target="https://github.com/EaminC/AgentBug-Smith/blob/main/data/issues_70/issue_610.json" TargetMode="External"/><Relationship Id="rId383" Type="http://schemas.openxmlformats.org/officeDocument/2006/relationships/hyperlink" Target="https://github.com/EaminC/AgentBug-Smith/blob/main/data/issues_70/issue_4947.json" TargetMode="External"/><Relationship Id="rId140" Type="http://schemas.openxmlformats.org/officeDocument/2006/relationships/hyperlink" Target="https://github.com/EaminC/AgentBug-Smith/blob/main/data/issues_80/issue_768.json" TargetMode="External"/><Relationship Id="rId261" Type="http://schemas.openxmlformats.org/officeDocument/2006/relationships/hyperlink" Target="https://github.com/EaminC/AgentBug-Smith/tree/main/results/all_combined_f2p/issue_974_20260511T001744Z" TargetMode="External"/><Relationship Id="rId382" Type="http://schemas.openxmlformats.org/officeDocument/2006/relationships/hyperlink" Target="https://github.com/EaminC/AgentBug-Smith/blob/main/data/issues_70/issue_442.json" TargetMode="External"/><Relationship Id="rId5" Type="http://schemas.openxmlformats.org/officeDocument/2006/relationships/hyperlink" Target="https://github.com/EaminC/AgentBug-Smith/tree/main/results/all_combined_f2p/issue_1112_20260623T030619Z" TargetMode="External"/><Relationship Id="rId147" Type="http://schemas.openxmlformats.org/officeDocument/2006/relationships/hyperlink" Target="https://github.com/EaminC/AgentBug-Smith/tree/main/results/all_combined_f2p/issue_2191_20260803T014118Z" TargetMode="External"/><Relationship Id="rId268" Type="http://schemas.openxmlformats.org/officeDocument/2006/relationships/hyperlink" Target="https://github.com/EaminC/AgentBug-Smith/blob/main/data/issues_80/issue_1136.json" TargetMode="External"/><Relationship Id="rId389" Type="http://schemas.openxmlformats.org/officeDocument/2006/relationships/hyperlink" Target="https://github.com/EaminC/AgentBug-Smith/blob/main/data/issues_70/issue_5489.json" TargetMode="External"/><Relationship Id="rId6" Type="http://schemas.openxmlformats.org/officeDocument/2006/relationships/hyperlink" Target="https://github.com/EaminC/AgentBug-Smith/blob/main/data/issues_80/issue_1129.json" TargetMode="External"/><Relationship Id="rId146" Type="http://schemas.openxmlformats.org/officeDocument/2006/relationships/hyperlink" Target="https://github.com/EaminC/AgentBug-Smith/blob/main/data/issues_80/issue_87.json" TargetMode="External"/><Relationship Id="rId267" Type="http://schemas.openxmlformats.org/officeDocument/2006/relationships/hyperlink" Target="https://github.com/EaminC/AgentBug-Smith/blob/main/data/issues_80/issue_1129.json" TargetMode="External"/><Relationship Id="rId388" Type="http://schemas.openxmlformats.org/officeDocument/2006/relationships/hyperlink" Target="https://github.com/EaminC/AgentBug-Smith/blob/main/data/issues_70/issue_5452.json" TargetMode="External"/><Relationship Id="rId7" Type="http://schemas.openxmlformats.org/officeDocument/2006/relationships/hyperlink" Target="https://github.com/EaminC/AgentBug-Smith/tree/main/results/all_combined_f2p/issue_1115_20260707T180736Z" TargetMode="External"/><Relationship Id="rId145" Type="http://schemas.openxmlformats.org/officeDocument/2006/relationships/hyperlink" Target="https://github.com/EaminC/AgentBug-Smith/tree/main/results/all_combined_f2p/issue_2179_20260811T161844Z" TargetMode="External"/><Relationship Id="rId266" Type="http://schemas.openxmlformats.org/officeDocument/2006/relationships/hyperlink" Target="https://github.com/EaminC/AgentBug-Smith/blob/main/data/issues_80/issue_109.json" TargetMode="External"/><Relationship Id="rId387" Type="http://schemas.openxmlformats.org/officeDocument/2006/relationships/hyperlink" Target="https://github.com/EaminC/AgentBug-Smith/blob/main/data/issues_70/issue_536.json" TargetMode="External"/><Relationship Id="rId8" Type="http://schemas.openxmlformats.org/officeDocument/2006/relationships/hyperlink" Target="https://github.com/EaminC/AgentBug-Smith/blob/main/data/issues_80/issue_1136.json" TargetMode="External"/><Relationship Id="rId144" Type="http://schemas.openxmlformats.org/officeDocument/2006/relationships/hyperlink" Target="https://github.com/EaminC/AgentBug-Smith/blob/main/data/issues_80/issue_83.json" TargetMode="External"/><Relationship Id="rId265" Type="http://schemas.openxmlformats.org/officeDocument/2006/relationships/hyperlink" Target="https://github.com/EaminC/AgentBug-Smith/blob/main/data/issues_80/issue_1037.json" TargetMode="External"/><Relationship Id="rId386" Type="http://schemas.openxmlformats.org/officeDocument/2006/relationships/hyperlink" Target="https://github.com/EaminC/AgentBug-Smith/blob/main/data/issues_70/issue_5343.json" TargetMode="External"/><Relationship Id="rId260" Type="http://schemas.openxmlformats.org/officeDocument/2006/relationships/hyperlink" Target="https://github.com/EaminC/AgentBug-Smith/blob/main/data/issues_70/issue_596.json" TargetMode="External"/><Relationship Id="rId381" Type="http://schemas.openxmlformats.org/officeDocument/2006/relationships/hyperlink" Target="https://github.com/EaminC/AgentBug-Smith/blob/main/data/issues_70/issue_4334.json" TargetMode="External"/><Relationship Id="rId380" Type="http://schemas.openxmlformats.org/officeDocument/2006/relationships/hyperlink" Target="https://github.com/EaminC/AgentBug-Smith/blob/main/data/issues_70/issue_43.json" TargetMode="External"/><Relationship Id="rId139" Type="http://schemas.openxmlformats.org/officeDocument/2006/relationships/hyperlink" Target="https://github.com/EaminC/AgentBug-Smith/tree/main/results/all_combined_f2p/issue_2130_20260823T112024Z" TargetMode="External"/><Relationship Id="rId138" Type="http://schemas.openxmlformats.org/officeDocument/2006/relationships/hyperlink" Target="https://github.com/EaminC/AgentBug-Smith/blob/main/data/issues_80/issue_71.json" TargetMode="External"/><Relationship Id="rId259" Type="http://schemas.openxmlformats.org/officeDocument/2006/relationships/hyperlink" Target="https://github.com/EaminC/AgentBug-Smith/tree/main/results/all_combined_f2p/issue_962_20260623T024247Z" TargetMode="External"/><Relationship Id="rId137" Type="http://schemas.openxmlformats.org/officeDocument/2006/relationships/hyperlink" Target="https://github.com/EaminC/AgentBug-Smith/tree/main/results/all_combined_f2p/issue_2130_20260810T101709Z" TargetMode="External"/><Relationship Id="rId258" Type="http://schemas.openxmlformats.org/officeDocument/2006/relationships/hyperlink" Target="https://github.com/EaminC/AgentBug-Smith/blob/main/data/issues_70/issue_5950.json" TargetMode="External"/><Relationship Id="rId379" Type="http://schemas.openxmlformats.org/officeDocument/2006/relationships/hyperlink" Target="https://github.com/EaminC/AgentBug-Smith/blob/main/data/issues_70/issue_4182.json" TargetMode="External"/><Relationship Id="rId132" Type="http://schemas.openxmlformats.org/officeDocument/2006/relationships/hyperlink" Target="https://github.com/EaminC/AgentBug-Smith/blob/main/data/issues_80/issue_682.json" TargetMode="External"/><Relationship Id="rId253" Type="http://schemas.openxmlformats.org/officeDocument/2006/relationships/hyperlink" Target="https://github.com/EaminC/AgentBug-Smith/tree/main/results/all_combined_f2p/issue_83_20260618T195818Z" TargetMode="External"/><Relationship Id="rId374" Type="http://schemas.openxmlformats.org/officeDocument/2006/relationships/hyperlink" Target="https://github.com/EaminC/AgentBug-Smith/blob/main/data/issues_70/issue_3584.json" TargetMode="External"/><Relationship Id="rId495" Type="http://schemas.openxmlformats.org/officeDocument/2006/relationships/hyperlink" Target="https://github.com/mastra-ai/mastra" TargetMode="External"/><Relationship Id="rId131" Type="http://schemas.openxmlformats.org/officeDocument/2006/relationships/hyperlink" Target="https://github.com/EaminC/AgentBug-Smith/tree/main/results/all_combined_f2p/issue_209_20260619T235044Z" TargetMode="External"/><Relationship Id="rId252" Type="http://schemas.openxmlformats.org/officeDocument/2006/relationships/hyperlink" Target="https://github.com/EaminC/AgentBug-Smith/blob/main/data/issues_70/issue_5517.json" TargetMode="External"/><Relationship Id="rId373" Type="http://schemas.openxmlformats.org/officeDocument/2006/relationships/hyperlink" Target="https://github.com/EaminC/AgentBug-Smith/blob/main/data/issues_70/issue_3415.json" TargetMode="External"/><Relationship Id="rId494" Type="http://schemas.openxmlformats.org/officeDocument/2006/relationships/hyperlink" Target="https://github.com/strands-agents/sdk-python" TargetMode="External"/><Relationship Id="rId130" Type="http://schemas.openxmlformats.org/officeDocument/2006/relationships/hyperlink" Target="https://github.com/EaminC/AgentBug-Smith/blob/main/data/issues_80/issue_66.json" TargetMode="External"/><Relationship Id="rId251" Type="http://schemas.openxmlformats.org/officeDocument/2006/relationships/hyperlink" Target="https://github.com/EaminC/AgentBug-Smith/tree/main/results/all_combined_f2p/issue_71_20260510T083954Z" TargetMode="External"/><Relationship Id="rId372" Type="http://schemas.openxmlformats.org/officeDocument/2006/relationships/hyperlink" Target="https://github.com/EaminC/AgentBug-Smith/blob/main/data/issues_70/issue_322.json" TargetMode="External"/><Relationship Id="rId493" Type="http://schemas.openxmlformats.org/officeDocument/2006/relationships/hyperlink" Target="https://github.com/crewAIInc/crewAI" TargetMode="External"/><Relationship Id="rId250" Type="http://schemas.openxmlformats.org/officeDocument/2006/relationships/hyperlink" Target="https://github.com/EaminC/AgentBug-Smith/blob/main/data/issues_70/issue_5489.json" TargetMode="External"/><Relationship Id="rId371" Type="http://schemas.openxmlformats.org/officeDocument/2006/relationships/hyperlink" Target="https://github.com/EaminC/AgentBug-Smith/blob/main/data/issues_70/issue_302.json" TargetMode="External"/><Relationship Id="rId492" Type="http://schemas.openxmlformats.org/officeDocument/2006/relationships/hyperlink" Target="https://github.com/agentscope-ai/agentscope/issues/71" TargetMode="External"/><Relationship Id="rId136" Type="http://schemas.openxmlformats.org/officeDocument/2006/relationships/hyperlink" Target="https://github.com/EaminC/AgentBug-Smith/blob/main/data/issues_80/issue_700.json" TargetMode="External"/><Relationship Id="rId257" Type="http://schemas.openxmlformats.org/officeDocument/2006/relationships/hyperlink" Target="https://github.com/EaminC/AgentBug-Smith/tree/main/results/all_combined_f2p/issue_9_20260522T230911Z" TargetMode="External"/><Relationship Id="rId378" Type="http://schemas.openxmlformats.org/officeDocument/2006/relationships/hyperlink" Target="https://github.com/EaminC/AgentBug-Smith/blob/main/data/issues_70/issue_3836.json" TargetMode="External"/><Relationship Id="rId499" Type="http://schemas.openxmlformats.org/officeDocument/2006/relationships/hyperlink" Target="https://github.com/tensorzero/tensorzero" TargetMode="External"/><Relationship Id="rId135" Type="http://schemas.openxmlformats.org/officeDocument/2006/relationships/hyperlink" Target="https://github.com/EaminC/AgentBug-Smith/tree/main/results/all_combined_f2p/issue_2122_20260820T091450Z" TargetMode="External"/><Relationship Id="rId256" Type="http://schemas.openxmlformats.org/officeDocument/2006/relationships/hyperlink" Target="https://github.com/EaminC/AgentBug-Smith/blob/main/data/issues_70/issue_5781.json" TargetMode="External"/><Relationship Id="rId377" Type="http://schemas.openxmlformats.org/officeDocument/2006/relationships/hyperlink" Target="https://github.com/EaminC/AgentBug-Smith/blob/main/data/issues_70/issue_3807.json" TargetMode="External"/><Relationship Id="rId498" Type="http://schemas.openxmlformats.org/officeDocument/2006/relationships/hyperlink" Target="https://github.com/geekan/MetaGPT" TargetMode="External"/><Relationship Id="rId134" Type="http://schemas.openxmlformats.org/officeDocument/2006/relationships/hyperlink" Target="https://github.com/EaminC/AgentBug-Smith/blob/main/data/issues_80/issue_70.json" TargetMode="External"/><Relationship Id="rId255" Type="http://schemas.openxmlformats.org/officeDocument/2006/relationships/hyperlink" Target="https://github.com/EaminC/AgentBug-Smith/tree/main/results/all_combined_f2p/issue_831_20260814T161354Z" TargetMode="External"/><Relationship Id="rId376" Type="http://schemas.openxmlformats.org/officeDocument/2006/relationships/hyperlink" Target="https://github.com/EaminC/AgentBug-Smith/blob/main/data/issues_70/issue_3662.json" TargetMode="External"/><Relationship Id="rId497" Type="http://schemas.openxmlformats.org/officeDocument/2006/relationships/hyperlink" Target="https://github.com/langflow-ai/langflow" TargetMode="External"/><Relationship Id="rId133" Type="http://schemas.openxmlformats.org/officeDocument/2006/relationships/hyperlink" Target="https://github.com/EaminC/AgentBug-Smith/tree/main/results/all_combined_f2p/issue_2090_20260820T062310Z" TargetMode="External"/><Relationship Id="rId254" Type="http://schemas.openxmlformats.org/officeDocument/2006/relationships/hyperlink" Target="https://github.com/EaminC/AgentBug-Smith/blob/main/data/issues_70/issue_5616.json" TargetMode="External"/><Relationship Id="rId375" Type="http://schemas.openxmlformats.org/officeDocument/2006/relationships/hyperlink" Target="https://github.com/EaminC/AgentBug-Smith/blob/main/data/issues_70/issue_3633.json" TargetMode="External"/><Relationship Id="rId496" Type="http://schemas.openxmlformats.org/officeDocument/2006/relationships/hyperlink" Target="https://github.com/langchain-ai/langgraph" TargetMode="External"/><Relationship Id="rId172" Type="http://schemas.openxmlformats.org/officeDocument/2006/relationships/hyperlink" Target="https://github.com/EaminC/AgentBug-Smith/blob/main/data/issues_70/issue_1174.json" TargetMode="External"/><Relationship Id="rId293" Type="http://schemas.openxmlformats.org/officeDocument/2006/relationships/hyperlink" Target="https://github.com/EaminC/AgentBug-Smith/blob/main/data/issues_80/issue_259.json" TargetMode="External"/><Relationship Id="rId171" Type="http://schemas.openxmlformats.org/officeDocument/2006/relationships/hyperlink" Target="https://github.com/EaminC/AgentBug-Smith/tree/main/results/all_combined_f2p/issue_2635_20260823T201645Z" TargetMode="External"/><Relationship Id="rId292" Type="http://schemas.openxmlformats.org/officeDocument/2006/relationships/hyperlink" Target="https://github.com/EaminC/AgentBug-Smith/blob/main/data/issues_80/issue_256.json" TargetMode="External"/><Relationship Id="rId170" Type="http://schemas.openxmlformats.org/officeDocument/2006/relationships/hyperlink" Target="https://github.com/EaminC/AgentBug-Smith/blob/main/data/issues_70/issue_1148.json" TargetMode="External"/><Relationship Id="rId291" Type="http://schemas.openxmlformats.org/officeDocument/2006/relationships/hyperlink" Target="https://github.com/EaminC/AgentBug-Smith/blob/main/data/issues_80/issue_255.json" TargetMode="External"/><Relationship Id="rId290" Type="http://schemas.openxmlformats.org/officeDocument/2006/relationships/hyperlink" Target="https://github.com/EaminC/AgentBug-Smith/blob/main/data/issues_80/issue_2390.json" TargetMode="External"/><Relationship Id="rId165" Type="http://schemas.openxmlformats.org/officeDocument/2006/relationships/hyperlink" Target="https://github.com/EaminC/AgentBug-Smith/tree/main/results/all_combined_f2p/issue_2434_20260717T190630Z" TargetMode="External"/><Relationship Id="rId286" Type="http://schemas.openxmlformats.org/officeDocument/2006/relationships/hyperlink" Target="https://github.com/EaminC/AgentBug-Smith/blob/main/data/issues_80/issue_1851.json" TargetMode="External"/><Relationship Id="rId164" Type="http://schemas.openxmlformats.org/officeDocument/2006/relationships/hyperlink" Target="https://github.com/EaminC/AgentBug-Smith/blob/main/data/issues_70/issue_1059.json" TargetMode="External"/><Relationship Id="rId285" Type="http://schemas.openxmlformats.org/officeDocument/2006/relationships/hyperlink" Target="https://github.com/EaminC/AgentBug-Smith/blob/main/data/issues_80/issue_177.json" TargetMode="External"/><Relationship Id="rId163" Type="http://schemas.openxmlformats.org/officeDocument/2006/relationships/hyperlink" Target="https://github.com/EaminC/AgentBug-Smith/tree/main/results/all_combined_f2p/issue_240_20260522T221855Z" TargetMode="External"/><Relationship Id="rId284" Type="http://schemas.openxmlformats.org/officeDocument/2006/relationships/hyperlink" Target="https://github.com/EaminC/AgentBug-Smith/blob/main/data/issues_80/issue_174.json" TargetMode="External"/><Relationship Id="rId162" Type="http://schemas.openxmlformats.org/officeDocument/2006/relationships/hyperlink" Target="https://github.com/EaminC/AgentBug-Smith/blob/main/data/issues_70/issue_1016.json" TargetMode="External"/><Relationship Id="rId283" Type="http://schemas.openxmlformats.org/officeDocument/2006/relationships/hyperlink" Target="https://github.com/EaminC/AgentBug-Smith/blob/main/data/issues_80/issue_169.json" TargetMode="External"/><Relationship Id="rId169" Type="http://schemas.openxmlformats.org/officeDocument/2006/relationships/hyperlink" Target="https://github.com/EaminC/AgentBug-Smith/tree/main/results/all_combined_f2p/issue_2587_20260719T094237Z" TargetMode="External"/><Relationship Id="rId168" Type="http://schemas.openxmlformats.org/officeDocument/2006/relationships/hyperlink" Target="https://github.com/EaminC/AgentBug-Smith/blob/main/data/issues_70/issue_1115.json" TargetMode="External"/><Relationship Id="rId289" Type="http://schemas.openxmlformats.org/officeDocument/2006/relationships/hyperlink" Target="https://github.com/EaminC/AgentBug-Smith/blob/main/data/issues_80/issue_209.json" TargetMode="External"/><Relationship Id="rId167" Type="http://schemas.openxmlformats.org/officeDocument/2006/relationships/hyperlink" Target="https://github.com/EaminC/AgentBug-Smith/tree/main/results/all_combined_f2p/issue_2561_20260628T160144Z" TargetMode="External"/><Relationship Id="rId288" Type="http://schemas.openxmlformats.org/officeDocument/2006/relationships/hyperlink" Target="https://github.com/EaminC/AgentBug-Smith/blob/main/data/issues_80/issue_1887.json" TargetMode="External"/><Relationship Id="rId166" Type="http://schemas.openxmlformats.org/officeDocument/2006/relationships/hyperlink" Target="https://github.com/EaminC/AgentBug-Smith/blob/main/data/issues_70/issue_1112.json" TargetMode="External"/><Relationship Id="rId287" Type="http://schemas.openxmlformats.org/officeDocument/2006/relationships/hyperlink" Target="https://github.com/EaminC/AgentBug-Smith/blob/main/data/issues_80/issue_1886.json" TargetMode="External"/><Relationship Id="rId161" Type="http://schemas.openxmlformats.org/officeDocument/2006/relationships/hyperlink" Target="https://github.com/EaminC/AgentBug-Smith/tree/main/results/all_combined_f2p/issue_237_20260729T081457Z" TargetMode="External"/><Relationship Id="rId282" Type="http://schemas.openxmlformats.org/officeDocument/2006/relationships/hyperlink" Target="https://github.com/EaminC/AgentBug-Smith/blob/main/data/issues_80/issue_1675.json" TargetMode="External"/><Relationship Id="rId160" Type="http://schemas.openxmlformats.org/officeDocument/2006/relationships/hyperlink" Target="https://github.com/EaminC/AgentBug-Smith/blob/main/data/issues_80/issue_974.json" TargetMode="External"/><Relationship Id="rId281" Type="http://schemas.openxmlformats.org/officeDocument/2006/relationships/hyperlink" Target="https://github.com/EaminC/AgentBug-Smith/blob/main/data/issues_80/issue_1583.json" TargetMode="External"/><Relationship Id="rId280" Type="http://schemas.openxmlformats.org/officeDocument/2006/relationships/hyperlink" Target="https://github.com/EaminC/AgentBug-Smith/blob/main/data/issues_80/issue_1511.json" TargetMode="External"/><Relationship Id="rId159" Type="http://schemas.openxmlformats.org/officeDocument/2006/relationships/hyperlink" Target="https://github.com/EaminC/AgentBug-Smith/tree/main/results/all_combined_f2p/issue_2330_20260628T093544Z" TargetMode="External"/><Relationship Id="rId154" Type="http://schemas.openxmlformats.org/officeDocument/2006/relationships/hyperlink" Target="https://github.com/EaminC/AgentBug-Smith/blob/main/data/issues_80/issue_923.json" TargetMode="External"/><Relationship Id="rId275" Type="http://schemas.openxmlformats.org/officeDocument/2006/relationships/hyperlink" Target="https://github.com/EaminC/AgentBug-Smith/blob/main/data/issues_80/issue_1437.json" TargetMode="External"/><Relationship Id="rId396" Type="http://schemas.openxmlformats.org/officeDocument/2006/relationships/hyperlink" Target="https://github.com/EaminC/AgentBug-Smith/blob/main/data/issues_70/issue_650.json" TargetMode="External"/><Relationship Id="rId153" Type="http://schemas.openxmlformats.org/officeDocument/2006/relationships/hyperlink" Target="https://github.com/EaminC/AgentBug-Smith/tree/main/results/all_combined_f2p/issue_2276_20260803T045610Z" TargetMode="External"/><Relationship Id="rId274" Type="http://schemas.openxmlformats.org/officeDocument/2006/relationships/hyperlink" Target="https://github.com/EaminC/AgentBug-Smith/blob/main/data/issues_80/issue_137.json" TargetMode="External"/><Relationship Id="rId395" Type="http://schemas.openxmlformats.org/officeDocument/2006/relationships/hyperlink" Target="https://github.com/EaminC/AgentBug-Smith/blob/main/data/issues_70/issue_610.json" TargetMode="External"/><Relationship Id="rId152" Type="http://schemas.openxmlformats.org/officeDocument/2006/relationships/hyperlink" Target="https://github.com/EaminC/AgentBug-Smith/blob/main/data/issues_80/issue_921.json" TargetMode="External"/><Relationship Id="rId273" Type="http://schemas.openxmlformats.org/officeDocument/2006/relationships/hyperlink" Target="https://github.com/EaminC/AgentBug-Smith/blob/main/data/issues_80/issue_1280.json" TargetMode="External"/><Relationship Id="rId394" Type="http://schemas.openxmlformats.org/officeDocument/2006/relationships/hyperlink" Target="https://github.com/EaminC/AgentBug-Smith/blob/main/data/issues_70/issue_596.json" TargetMode="External"/><Relationship Id="rId151" Type="http://schemas.openxmlformats.org/officeDocument/2006/relationships/hyperlink" Target="https://github.com/EaminC/AgentBug-Smith/tree/main/results/all_combined_f2p/issue_2235_20260820T162557Z" TargetMode="External"/><Relationship Id="rId272" Type="http://schemas.openxmlformats.org/officeDocument/2006/relationships/hyperlink" Target="https://github.com/EaminC/AgentBug-Smith/blob/main/data/issues_80/issue_1277.json" TargetMode="External"/><Relationship Id="rId393" Type="http://schemas.openxmlformats.org/officeDocument/2006/relationships/hyperlink" Target="https://github.com/EaminC/AgentBug-Smith/blob/main/data/issues_70/issue_5950.json" TargetMode="External"/><Relationship Id="rId158" Type="http://schemas.openxmlformats.org/officeDocument/2006/relationships/hyperlink" Target="https://github.com/EaminC/AgentBug-Smith/blob/main/data/issues_80/issue_942.json" TargetMode="External"/><Relationship Id="rId279" Type="http://schemas.openxmlformats.org/officeDocument/2006/relationships/hyperlink" Target="https://github.com/EaminC/AgentBug-Smith/blob/main/data/issues_80/issue_149.json" TargetMode="External"/><Relationship Id="rId157" Type="http://schemas.openxmlformats.org/officeDocument/2006/relationships/hyperlink" Target="https://github.com/EaminC/AgentBug-Smith/tree/main/results/all_combined_f2p/issue_231_20260812T204159Z" TargetMode="External"/><Relationship Id="rId278" Type="http://schemas.openxmlformats.org/officeDocument/2006/relationships/hyperlink" Target="https://github.com/EaminC/AgentBug-Smith/blob/main/data/issues_80/issue_1455.json" TargetMode="External"/><Relationship Id="rId399" Type="http://schemas.openxmlformats.org/officeDocument/2006/relationships/hyperlink" Target="https://github.com/EaminC/AgentBug-Smith/blob/main/data/issues_70/issue_687.json" TargetMode="External"/><Relationship Id="rId156" Type="http://schemas.openxmlformats.org/officeDocument/2006/relationships/hyperlink" Target="https://github.com/EaminC/AgentBug-Smith/blob/main/data/issues_80/issue_928.json" TargetMode="External"/><Relationship Id="rId277" Type="http://schemas.openxmlformats.org/officeDocument/2006/relationships/hyperlink" Target="https://github.com/EaminC/AgentBug-Smith/blob/main/data/issues_80/issue_1445.json" TargetMode="External"/><Relationship Id="rId398" Type="http://schemas.openxmlformats.org/officeDocument/2006/relationships/hyperlink" Target="https://github.com/EaminC/AgentBug-Smith/blob/main/data/issues_70/issue_6744.json" TargetMode="External"/><Relationship Id="rId155" Type="http://schemas.openxmlformats.org/officeDocument/2006/relationships/hyperlink" Target="https://github.com/EaminC/AgentBug-Smith/tree/main/results/all_combined_f2p/issue_2296_20260823T174322Z" TargetMode="External"/><Relationship Id="rId276" Type="http://schemas.openxmlformats.org/officeDocument/2006/relationships/hyperlink" Target="https://github.com/EaminC/AgentBug-Smith/blob/main/data/issues_80/issue_1439.json" TargetMode="External"/><Relationship Id="rId397" Type="http://schemas.openxmlformats.org/officeDocument/2006/relationships/hyperlink" Target="https://github.com/EaminC/AgentBug-Smith/blob/main/data/issues_70/issue_665.json" TargetMode="External"/><Relationship Id="rId40" Type="http://schemas.openxmlformats.org/officeDocument/2006/relationships/hyperlink" Target="https://github.com/EaminC/AgentBug-Smith/blob/main/data/issues_80/issue_174.json" TargetMode="External"/><Relationship Id="rId42" Type="http://schemas.openxmlformats.org/officeDocument/2006/relationships/hyperlink" Target="https://github.com/EaminC/AgentBug-Smith/blob/main/data/issues_80/issue_177.json" TargetMode="External"/><Relationship Id="rId41" Type="http://schemas.openxmlformats.org/officeDocument/2006/relationships/hyperlink" Target="https://github.com/EaminC/AgentBug-Smith/tree/main/results/all_combined_f2p/issue_1351_20260624T075019Z" TargetMode="External"/><Relationship Id="rId44" Type="http://schemas.openxmlformats.org/officeDocument/2006/relationships/hyperlink" Target="https://github.com/EaminC/AgentBug-Smith/blob/main/data/issues_80/issue_1851.json" TargetMode="External"/><Relationship Id="rId43" Type="http://schemas.openxmlformats.org/officeDocument/2006/relationships/hyperlink" Target="https://github.com/EaminC/AgentBug-Smith/tree/main/results/all_combined_f2p/issue_141_20260729T075605Z" TargetMode="External"/><Relationship Id="rId46" Type="http://schemas.openxmlformats.org/officeDocument/2006/relationships/hyperlink" Target="https://github.com/EaminC/AgentBug-Smith/blob/main/data/issues_80/issue_1886.json" TargetMode="External"/><Relationship Id="rId45" Type="http://schemas.openxmlformats.org/officeDocument/2006/relationships/hyperlink" Target="https://github.com/EaminC/AgentBug-Smith/tree/main/results/all_combined_f2p/issue_1432_20260817T045516Z" TargetMode="External"/><Relationship Id="rId509" Type="http://schemas.openxmlformats.org/officeDocument/2006/relationships/hyperlink" Target="https://github.com/lobehub/lobehub" TargetMode="External"/><Relationship Id="rId508" Type="http://schemas.openxmlformats.org/officeDocument/2006/relationships/hyperlink" Target="https://github.com/OpenInterpreter/open-interpreter" TargetMode="External"/><Relationship Id="rId503" Type="http://schemas.openxmlformats.org/officeDocument/2006/relationships/hyperlink" Target="https://github.com/Canner/WrenAI" TargetMode="External"/><Relationship Id="rId502" Type="http://schemas.openxmlformats.org/officeDocument/2006/relationships/hyperlink" Target="https://github.com/always-further/AgentUp/issues/256" TargetMode="External"/><Relationship Id="rId501" Type="http://schemas.openxmlformats.org/officeDocument/2006/relationships/hyperlink" Target="https://github.com/MLSysOps/MLE-agent/issues/56" TargetMode="External"/><Relationship Id="rId500" Type="http://schemas.openxmlformats.org/officeDocument/2006/relationships/hyperlink" Target="https://github.com/Significant-Gravitas/AutoGPT" TargetMode="External"/><Relationship Id="rId507" Type="http://schemas.openxmlformats.org/officeDocument/2006/relationships/hyperlink" Target="https://github.com/AntonOsika/gpt-engineer" TargetMode="External"/><Relationship Id="rId506" Type="http://schemas.openxmlformats.org/officeDocument/2006/relationships/hyperlink" Target="https://github.com/ValueCell-ai/valuecell" TargetMode="External"/><Relationship Id="rId505" Type="http://schemas.openxmlformats.org/officeDocument/2006/relationships/hyperlink" Target="https://github.com/Aider-AI/aider" TargetMode="External"/><Relationship Id="rId504" Type="http://schemas.openxmlformats.org/officeDocument/2006/relationships/hyperlink" Target="https://github.com/reworkd/AgentGPT" TargetMode="External"/><Relationship Id="rId48" Type="http://schemas.openxmlformats.org/officeDocument/2006/relationships/hyperlink" Target="https://github.com/EaminC/AgentBug-Smith/blob/main/data/issues_80/issue_1887.json" TargetMode="External"/><Relationship Id="rId47" Type="http://schemas.openxmlformats.org/officeDocument/2006/relationships/hyperlink" Target="https://github.com/EaminC/AgentBug-Smith/tree/main/results/all_combined_f2p/issue_1439_20260802T002117Z" TargetMode="External"/><Relationship Id="rId49" Type="http://schemas.openxmlformats.org/officeDocument/2006/relationships/hyperlink" Target="https://github.com/EaminC/AgentBug-Smith/tree/main/results/all_combined_f2p/issue_1538_20260817T110225Z" TargetMode="External"/><Relationship Id="rId31" Type="http://schemas.openxmlformats.org/officeDocument/2006/relationships/hyperlink" Target="https://github.com/EaminC/AgentBug-Smith/tree/main/results/all_combined_f2p/issue_1277_20260511T034601Z" TargetMode="External"/><Relationship Id="rId30" Type="http://schemas.openxmlformats.org/officeDocument/2006/relationships/hyperlink" Target="https://github.com/EaminC/AgentBug-Smith/blob/main/data/issues_80/issue_149.json" TargetMode="External"/><Relationship Id="rId33" Type="http://schemas.openxmlformats.org/officeDocument/2006/relationships/hyperlink" Target="https://github.com/EaminC/AgentBug-Smith/tree/main/results/all_combined_f2p/issue_1280_20260717T161006Z" TargetMode="External"/><Relationship Id="rId32" Type="http://schemas.openxmlformats.org/officeDocument/2006/relationships/hyperlink" Target="https://github.com/EaminC/AgentBug-Smith/blob/main/data/issues_80/issue_1511.json" TargetMode="External"/><Relationship Id="rId35" Type="http://schemas.openxmlformats.org/officeDocument/2006/relationships/hyperlink" Target="https://github.com/EaminC/AgentBug-Smith/tree/main/results/all_combined_f2p/issue_1294_20260816T182750Z" TargetMode="External"/><Relationship Id="rId34" Type="http://schemas.openxmlformats.org/officeDocument/2006/relationships/hyperlink" Target="https://github.com/EaminC/AgentBug-Smith/blob/main/data/issues_80/issue_1583.json" TargetMode="External"/><Relationship Id="rId37" Type="http://schemas.openxmlformats.org/officeDocument/2006/relationships/hyperlink" Target="https://github.com/EaminC/AgentBug-Smith/tree/main/results/all_combined_f2p/issue_1297_20260624T043153Z" TargetMode="External"/><Relationship Id="rId36" Type="http://schemas.openxmlformats.org/officeDocument/2006/relationships/hyperlink" Target="https://github.com/EaminC/AgentBug-Smith/blob/main/data/issues_80/issue_1675.json" TargetMode="External"/><Relationship Id="rId39" Type="http://schemas.openxmlformats.org/officeDocument/2006/relationships/hyperlink" Target="https://github.com/EaminC/AgentBug-Smith/tree/main/results/all_combined_f2p/issue_1334_20260816T182942Z" TargetMode="External"/><Relationship Id="rId38" Type="http://schemas.openxmlformats.org/officeDocument/2006/relationships/hyperlink" Target="https://github.com/EaminC/AgentBug-Smith/blob/main/data/issues_80/issue_169.json" TargetMode="External"/><Relationship Id="rId20" Type="http://schemas.openxmlformats.org/officeDocument/2006/relationships/hyperlink" Target="https://github.com/EaminC/AgentBug-Smith/blob/main/data/issues_80/issue_137.json" TargetMode="External"/><Relationship Id="rId22" Type="http://schemas.openxmlformats.org/officeDocument/2006/relationships/hyperlink" Target="https://github.com/EaminC/AgentBug-Smith/blob/main/data/issues_80/issue_1437.json" TargetMode="External"/><Relationship Id="rId21" Type="http://schemas.openxmlformats.org/officeDocument/2006/relationships/hyperlink" Target="https://github.com/EaminC/AgentBug-Smith/tree/main/results/all_combined_f2p/issue_121_20260614T144239Z" TargetMode="External"/><Relationship Id="rId24" Type="http://schemas.openxmlformats.org/officeDocument/2006/relationships/hyperlink" Target="https://github.com/EaminC/AgentBug-Smith/blob/main/data/issues_80/issue_1439.json" TargetMode="External"/><Relationship Id="rId23" Type="http://schemas.openxmlformats.org/officeDocument/2006/relationships/hyperlink" Target="https://github.com/EaminC/AgentBug-Smith/tree/main/results/all_combined_f2p/issue_1221_20260816T090307Z" TargetMode="External"/><Relationship Id="rId409" Type="http://schemas.openxmlformats.org/officeDocument/2006/relationships/hyperlink" Target="https://github.com/EaminC/AgentBug-Smith/blob/main/data/issues_70/issue_899.json" TargetMode="External"/><Relationship Id="rId404" Type="http://schemas.openxmlformats.org/officeDocument/2006/relationships/hyperlink" Target="https://github.com/EaminC/AgentBug-Smith/blob/main/data/issues_70/issue_80.json" TargetMode="External"/><Relationship Id="rId403" Type="http://schemas.openxmlformats.org/officeDocument/2006/relationships/hyperlink" Target="https://github.com/EaminC/AgentBug-Smith/blob/main/data/issues_70/issue_773.json" TargetMode="External"/><Relationship Id="rId402" Type="http://schemas.openxmlformats.org/officeDocument/2006/relationships/hyperlink" Target="https://github.com/EaminC/AgentBug-Smith/blob/main/data/issues_70/issue_749.json" TargetMode="External"/><Relationship Id="rId401" Type="http://schemas.openxmlformats.org/officeDocument/2006/relationships/hyperlink" Target="https://github.com/EaminC/AgentBug-Smith/blob/main/data/issues_70/issue_697.json" TargetMode="External"/><Relationship Id="rId408" Type="http://schemas.openxmlformats.org/officeDocument/2006/relationships/hyperlink" Target="https://github.com/EaminC/AgentBug-Smith/blob/main/data/issues_70/issue_875.json" TargetMode="External"/><Relationship Id="rId407" Type="http://schemas.openxmlformats.org/officeDocument/2006/relationships/hyperlink" Target="https://github.com/EaminC/AgentBug-Smith/blob/main/data/issues_70/issue_869.json" TargetMode="External"/><Relationship Id="rId406" Type="http://schemas.openxmlformats.org/officeDocument/2006/relationships/hyperlink" Target="https://github.com/EaminC/AgentBug-Smith/blob/main/data/issues_70/issue_8666.json" TargetMode="External"/><Relationship Id="rId405" Type="http://schemas.openxmlformats.org/officeDocument/2006/relationships/hyperlink" Target="https://github.com/EaminC/AgentBug-Smith/blob/main/data/issues_70/issue_8226.json" TargetMode="External"/><Relationship Id="rId26" Type="http://schemas.openxmlformats.org/officeDocument/2006/relationships/hyperlink" Target="https://github.com/EaminC/AgentBug-Smith/blob/main/data/issues_80/issue_1445.json" TargetMode="External"/><Relationship Id="rId25" Type="http://schemas.openxmlformats.org/officeDocument/2006/relationships/hyperlink" Target="https://github.com/EaminC/AgentBug-Smith/tree/main/results/all_combined_f2p/issue_1222_20260617T122512Z" TargetMode="External"/><Relationship Id="rId28" Type="http://schemas.openxmlformats.org/officeDocument/2006/relationships/hyperlink" Target="https://github.com/EaminC/AgentBug-Smith/blob/main/data/issues_80/issue_1455.json" TargetMode="External"/><Relationship Id="rId27" Type="http://schemas.openxmlformats.org/officeDocument/2006/relationships/hyperlink" Target="https://github.com/EaminC/AgentBug-Smith/tree/main/results/all_combined_f2p/issue_1260_20260816T160950Z" TargetMode="External"/><Relationship Id="rId400" Type="http://schemas.openxmlformats.org/officeDocument/2006/relationships/hyperlink" Target="https://github.com/EaminC/AgentBug-Smith/blob/main/data/issues_70/issue_692.json" TargetMode="External"/><Relationship Id="rId29" Type="http://schemas.openxmlformats.org/officeDocument/2006/relationships/hyperlink" Target="https://github.com/EaminC/AgentBug-Smith/tree/main/results/all_combined_f2p/issue_1272_20260816T174203Z" TargetMode="External"/><Relationship Id="rId11" Type="http://schemas.openxmlformats.org/officeDocument/2006/relationships/hyperlink" Target="https://github.com/EaminC/AgentBug-Smith/tree/main/results/all_combined_f2p/issue_1136_20260511T024303Z" TargetMode="External"/><Relationship Id="rId10" Type="http://schemas.openxmlformats.org/officeDocument/2006/relationships/hyperlink" Target="https://github.com/EaminC/AgentBug-Smith/blob/main/data/issues_80/issue_1197.json" TargetMode="External"/><Relationship Id="rId13" Type="http://schemas.openxmlformats.org/officeDocument/2006/relationships/hyperlink" Target="https://github.com/EaminC/AgentBug-Smith/tree/main/results/all_combined_f2p/issue_1158_20260814T222448Z" TargetMode="External"/><Relationship Id="rId12" Type="http://schemas.openxmlformats.org/officeDocument/2006/relationships/hyperlink" Target="https://github.com/EaminC/AgentBug-Smith/blob/main/data/issues_80/issue_121.json" TargetMode="External"/><Relationship Id="rId512" Type="http://schemas.openxmlformats.org/officeDocument/2006/relationships/table" Target="../tables/table1.xml"/><Relationship Id="rId15" Type="http://schemas.openxmlformats.org/officeDocument/2006/relationships/hyperlink" Target="https://github.com/EaminC/AgentBug-Smith/tree/main/results/all_combined_f2p/issue_1176_20260815T110931Z" TargetMode="External"/><Relationship Id="rId14" Type="http://schemas.openxmlformats.org/officeDocument/2006/relationships/hyperlink" Target="https://github.com/EaminC/AgentBug-Smith/blob/main/data/issues_80/issue_1222.json" TargetMode="External"/><Relationship Id="rId17" Type="http://schemas.openxmlformats.org/officeDocument/2006/relationships/hyperlink" Target="https://github.com/EaminC/AgentBug-Smith/tree/main/results/all_combined_f2p/issue_1197_20260815T160749Z" TargetMode="External"/><Relationship Id="rId16" Type="http://schemas.openxmlformats.org/officeDocument/2006/relationships/hyperlink" Target="https://github.com/EaminC/AgentBug-Smith/blob/main/data/issues_80/issue_1277.json" TargetMode="External"/><Relationship Id="rId19" Type="http://schemas.openxmlformats.org/officeDocument/2006/relationships/hyperlink" Target="https://github.com/EaminC/AgentBug-Smith/tree/main/results/all_combined_f2p/issue_1208_20260816T000846Z" TargetMode="External"/><Relationship Id="rId510" Type="http://schemas.openxmlformats.org/officeDocument/2006/relationships/drawing" Target="../drawings/drawing2.xml"/><Relationship Id="rId18" Type="http://schemas.openxmlformats.org/officeDocument/2006/relationships/hyperlink" Target="https://github.com/EaminC/AgentBug-Smith/blob/main/data/issues_80/issue_1280.json" TargetMode="External"/><Relationship Id="rId84" Type="http://schemas.openxmlformats.org/officeDocument/2006/relationships/hyperlink" Target="https://github.com/EaminC/AgentBug-Smith/blob/main/data/issues_80/issue_4109.json" TargetMode="External"/><Relationship Id="rId83" Type="http://schemas.openxmlformats.org/officeDocument/2006/relationships/hyperlink" Target="https://github.com/EaminC/AgentBug-Smith/tree/main/results/all_combined_f2p/issue_1724_20260729T103415Z" TargetMode="External"/><Relationship Id="rId86" Type="http://schemas.openxmlformats.org/officeDocument/2006/relationships/hyperlink" Target="https://github.com/EaminC/AgentBug-Smith/blob/main/data/issues_80/issue_411.json" TargetMode="External"/><Relationship Id="rId85" Type="http://schemas.openxmlformats.org/officeDocument/2006/relationships/hyperlink" Target="https://github.com/EaminC/AgentBug-Smith/tree/main/results/all_combined_f2p/issue_1732_20260818T071638Z" TargetMode="External"/><Relationship Id="rId88" Type="http://schemas.openxmlformats.org/officeDocument/2006/relationships/hyperlink" Target="https://github.com/EaminC/AgentBug-Smith/blob/main/data/issues_80/issue_4229.json" TargetMode="External"/><Relationship Id="rId87" Type="http://schemas.openxmlformats.org/officeDocument/2006/relationships/hyperlink" Target="https://github.com/EaminC/AgentBug-Smith/tree/main/results/all_combined_f2p/issue_1745_20260808T133207Z" TargetMode="External"/><Relationship Id="rId89" Type="http://schemas.openxmlformats.org/officeDocument/2006/relationships/hyperlink" Target="https://github.com/EaminC/AgentBug-Smith/tree/main/results/all_combined_f2p/issue_1765_20260729T112754Z" TargetMode="External"/><Relationship Id="rId80" Type="http://schemas.openxmlformats.org/officeDocument/2006/relationships/hyperlink" Target="https://github.com/EaminC/AgentBug-Smith/blob/main/data/issues_80/issue_40.json" TargetMode="External"/><Relationship Id="rId82" Type="http://schemas.openxmlformats.org/officeDocument/2006/relationships/hyperlink" Target="https://github.com/EaminC/AgentBug-Smith/blob/main/data/issues_80/issue_4072.json" TargetMode="External"/><Relationship Id="rId81" Type="http://schemas.openxmlformats.org/officeDocument/2006/relationships/hyperlink" Target="https://github.com/EaminC/AgentBug-Smith/tree/main/results/all_combined_f2p/issue_1723_20260605T144633Z" TargetMode="External"/><Relationship Id="rId73" Type="http://schemas.openxmlformats.org/officeDocument/2006/relationships/hyperlink" Target="https://github.com/EaminC/AgentBug-Smith/tree/main/results/all_combined_f2p/issue_1702_20260818T063539Z" TargetMode="External"/><Relationship Id="rId72" Type="http://schemas.openxmlformats.org/officeDocument/2006/relationships/hyperlink" Target="https://github.com/EaminC/AgentBug-Smith/blob/main/data/issues_80/issue_33_MLE.json" TargetMode="External"/><Relationship Id="rId75" Type="http://schemas.openxmlformats.org/officeDocument/2006/relationships/hyperlink" Target="https://github.com/EaminC/AgentBug-Smith/tree/main/results/all_combined_f2p/issue_1703_20260627T133832Z" TargetMode="External"/><Relationship Id="rId74" Type="http://schemas.openxmlformats.org/officeDocument/2006/relationships/hyperlink" Target="https://github.com/EaminC/AgentBug-Smith/blob/main/data/issues_80/issue_388.json" TargetMode="External"/><Relationship Id="rId77" Type="http://schemas.openxmlformats.org/officeDocument/2006/relationships/hyperlink" Target="https://github.com/EaminC/AgentBug-Smith/tree/main/results/all_combined_f2p/issue_1704_20260730T020559Z" TargetMode="External"/><Relationship Id="rId76" Type="http://schemas.openxmlformats.org/officeDocument/2006/relationships/hyperlink" Target="https://github.com/EaminC/AgentBug-Smith/blob/main/data/issues_80/issue_3979.json" TargetMode="External"/><Relationship Id="rId79" Type="http://schemas.openxmlformats.org/officeDocument/2006/relationships/hyperlink" Target="https://github.com/EaminC/AgentBug-Smith/tree/main/results/all_combined_f2p/issue_1714_20260818T071421Z" TargetMode="External"/><Relationship Id="rId78" Type="http://schemas.openxmlformats.org/officeDocument/2006/relationships/hyperlink" Target="https://github.com/EaminC/AgentBug-Smith/blob/main/data/issues_80/issue_3988.json" TargetMode="External"/><Relationship Id="rId71" Type="http://schemas.openxmlformats.org/officeDocument/2006/relationships/hyperlink" Target="https://github.com/EaminC/AgentBug-Smith/tree/main/results/all_combined_f2p/issue_1702_20260729T084553Z" TargetMode="External"/><Relationship Id="rId70" Type="http://schemas.openxmlformats.org/officeDocument/2006/relationships/hyperlink" Target="https://github.com/EaminC/AgentBug-Smith/blob/main/data/issues_80/issue_33.json" TargetMode="External"/><Relationship Id="rId62" Type="http://schemas.openxmlformats.org/officeDocument/2006/relationships/hyperlink" Target="https://github.com/EaminC/AgentBug-Smith/blob/main/data/issues_80/issue_288.json" TargetMode="External"/><Relationship Id="rId61" Type="http://schemas.openxmlformats.org/officeDocument/2006/relationships/hyperlink" Target="https://github.com/EaminC/AgentBug-Smith/tree/main/results/all_combined_f2p/issue_1686_20260818T052926Z" TargetMode="External"/><Relationship Id="rId64" Type="http://schemas.openxmlformats.org/officeDocument/2006/relationships/hyperlink" Target="https://github.com/EaminC/AgentBug-Smith/blob/main/data/issues_80/issue_29.json" TargetMode="External"/><Relationship Id="rId63" Type="http://schemas.openxmlformats.org/officeDocument/2006/relationships/hyperlink" Target="https://github.com/EaminC/AgentBug-Smith/tree/main/results/all_combined_f2p/issue_1687_20260818T044726Z" TargetMode="External"/><Relationship Id="rId66" Type="http://schemas.openxmlformats.org/officeDocument/2006/relationships/hyperlink" Target="https://github.com/EaminC/AgentBug-Smith/blob/main/data/issues_80/issue_313.json" TargetMode="External"/><Relationship Id="rId65" Type="http://schemas.openxmlformats.org/officeDocument/2006/relationships/hyperlink" Target="https://github.com/EaminC/AgentBug-Smith/tree/main/results/all_combined_f2p/issue_1689_20260818T055717Z" TargetMode="External"/><Relationship Id="rId68" Type="http://schemas.openxmlformats.org/officeDocument/2006/relationships/hyperlink" Target="https://github.com/EaminC/AgentBug-Smith/blob/main/data/issues_80/issue_325.json" TargetMode="External"/><Relationship Id="rId67" Type="http://schemas.openxmlformats.org/officeDocument/2006/relationships/hyperlink" Target="https://github.com/EaminC/AgentBug-Smith/tree/main/results/all_combined_f2p/issue_169_20260511T181727Z" TargetMode="External"/><Relationship Id="rId60" Type="http://schemas.openxmlformats.org/officeDocument/2006/relationships/hyperlink" Target="https://github.com/EaminC/AgentBug-Smith/blob/main/data/issues_80/issue_273.json" TargetMode="External"/><Relationship Id="rId69" Type="http://schemas.openxmlformats.org/officeDocument/2006/relationships/hyperlink" Target="https://github.com/EaminC/AgentBug-Smith/tree/main/results/all_combined_f2p/issue_1696_20260818T061206Z" TargetMode="External"/><Relationship Id="rId51" Type="http://schemas.openxmlformats.org/officeDocument/2006/relationships/hyperlink" Target="https://github.com/EaminC/AgentBug-Smith/tree/main/results/all_combined_f2p/issue_1545_20260817T110601Z" TargetMode="External"/><Relationship Id="rId50" Type="http://schemas.openxmlformats.org/officeDocument/2006/relationships/hyperlink" Target="https://github.com/EaminC/AgentBug-Smith/blob/main/data/issues_80/issue_209.json" TargetMode="External"/><Relationship Id="rId53" Type="http://schemas.openxmlformats.org/officeDocument/2006/relationships/hyperlink" Target="https://github.com/EaminC/AgentBug-Smith/tree/main/results/all_combined_f2p/issue_1551_20260817T114349Z" TargetMode="External"/><Relationship Id="rId52" Type="http://schemas.openxmlformats.org/officeDocument/2006/relationships/hyperlink" Target="https://github.com/EaminC/AgentBug-Smith/blob/main/data/issues_80/issue_2390.json" TargetMode="External"/><Relationship Id="rId55" Type="http://schemas.openxmlformats.org/officeDocument/2006/relationships/hyperlink" Target="https://github.com/EaminC/AgentBug-Smith/tree/main/results/all_combined_f2p/issue_1651_20260817T190549Z" TargetMode="External"/><Relationship Id="rId54" Type="http://schemas.openxmlformats.org/officeDocument/2006/relationships/hyperlink" Target="https://github.com/EaminC/AgentBug-Smith/blob/main/data/issues_80/issue_255.json" TargetMode="External"/><Relationship Id="rId57" Type="http://schemas.openxmlformats.org/officeDocument/2006/relationships/hyperlink" Target="https://github.com/EaminC/AgentBug-Smith/tree/main/results/all_combined_f2p/issue_166_20260703T205716Z" TargetMode="External"/><Relationship Id="rId56" Type="http://schemas.openxmlformats.org/officeDocument/2006/relationships/hyperlink" Target="https://github.com/EaminC/AgentBug-Smith/blob/main/data/issues_80/issue_256.json" TargetMode="External"/><Relationship Id="rId59" Type="http://schemas.openxmlformats.org/officeDocument/2006/relationships/hyperlink" Target="https://github.com/EaminC/AgentBug-Smith/tree/main/results/all_combined_f2p/issue_1675_20260617T165705Z" TargetMode="External"/><Relationship Id="rId58" Type="http://schemas.openxmlformats.org/officeDocument/2006/relationships/hyperlink" Target="https://github.com/EaminC/AgentBug-Smith/blob/main/data/issues_80/issue_259.json" TargetMode="External"/><Relationship Id="rId107" Type="http://schemas.openxmlformats.org/officeDocument/2006/relationships/hyperlink" Target="https://github.com/EaminC/AgentBug-Smith/tree/main/results/all_combined_f2p/issue_1892_20260729T152208Z" TargetMode="External"/><Relationship Id="rId228" Type="http://schemas.openxmlformats.org/officeDocument/2006/relationships/hyperlink" Target="https://github.com/EaminC/AgentBug-Smith/blob/main/data/issues_70/issue_3836.json" TargetMode="External"/><Relationship Id="rId349" Type="http://schemas.openxmlformats.org/officeDocument/2006/relationships/hyperlink" Target="https://github.com/EaminC/AgentBug-Smith/blob/main/data/issues_70/issue_1148.json" TargetMode="External"/><Relationship Id="rId106" Type="http://schemas.openxmlformats.org/officeDocument/2006/relationships/hyperlink" Target="https://github.com/EaminC/AgentBug-Smith/blob/main/data/issues_80/issue_5739.json" TargetMode="External"/><Relationship Id="rId227" Type="http://schemas.openxmlformats.org/officeDocument/2006/relationships/hyperlink" Target="https://github.com/EaminC/AgentBug-Smith/tree/main/results/all_combined_f2p/issue_563_20260623T223350Z" TargetMode="External"/><Relationship Id="rId348" Type="http://schemas.openxmlformats.org/officeDocument/2006/relationships/hyperlink" Target="https://github.com/EaminC/AgentBug-Smith/blob/main/data/issues_70/issue_1115.json" TargetMode="External"/><Relationship Id="rId469" Type="http://schemas.openxmlformats.org/officeDocument/2006/relationships/hyperlink" Target="https://github.com/EaminC/AgentBug-Smith/blob/main/data/issues_25/issue_1723.json" TargetMode="External"/><Relationship Id="rId105" Type="http://schemas.openxmlformats.org/officeDocument/2006/relationships/hyperlink" Target="https://github.com/EaminC/AgentBug-Smith/tree/main/results/all_combined_f2p/issue_1890_20260810T110306Z" TargetMode="External"/><Relationship Id="rId226" Type="http://schemas.openxmlformats.org/officeDocument/2006/relationships/hyperlink" Target="https://github.com/EaminC/AgentBug-Smith/blob/main/data/issues_70/issue_3807.json" TargetMode="External"/><Relationship Id="rId347" Type="http://schemas.openxmlformats.org/officeDocument/2006/relationships/hyperlink" Target="https://github.com/EaminC/AgentBug-Smith/blob/main/data/issues_70/issue_1112.json" TargetMode="External"/><Relationship Id="rId468" Type="http://schemas.openxmlformats.org/officeDocument/2006/relationships/hyperlink" Target="https://github.com/EaminC/AgentBug-Smith/blob/main/data/issues_25/issue_1658.json" TargetMode="External"/><Relationship Id="rId104" Type="http://schemas.openxmlformats.org/officeDocument/2006/relationships/hyperlink" Target="https://github.com/EaminC/AgentBug-Smith/blob/main/data/issues_80/issue_5700.json" TargetMode="External"/><Relationship Id="rId225" Type="http://schemas.openxmlformats.org/officeDocument/2006/relationships/hyperlink" Target="https://github.com/EaminC/AgentBug-Smith/tree/main/results/all_combined_f2p/issue_529_20260813T191356Z" TargetMode="External"/><Relationship Id="rId346" Type="http://schemas.openxmlformats.org/officeDocument/2006/relationships/hyperlink" Target="https://github.com/EaminC/AgentBug-Smith/blob/main/data/issues_70/issue_1059.json" TargetMode="External"/><Relationship Id="rId467" Type="http://schemas.openxmlformats.org/officeDocument/2006/relationships/hyperlink" Target="https://github.com/EaminC/AgentBug-Smith/blob/main/data/issues_25/issue_164.json" TargetMode="External"/><Relationship Id="rId109" Type="http://schemas.openxmlformats.org/officeDocument/2006/relationships/hyperlink" Target="https://github.com/EaminC/AgentBug-Smith/tree/main/results/all_combined_f2p/issue_1900_20260729T153729Z" TargetMode="External"/><Relationship Id="rId108" Type="http://schemas.openxmlformats.org/officeDocument/2006/relationships/hyperlink" Target="https://github.com/EaminC/AgentBug-Smith/blob/main/data/issues_80/issue_5741.json" TargetMode="External"/><Relationship Id="rId229" Type="http://schemas.openxmlformats.org/officeDocument/2006/relationships/hyperlink" Target="https://github.com/EaminC/AgentBug-Smith/tree/main/results/all_combined_f2p/issue_563_20260730T151938Z" TargetMode="External"/><Relationship Id="rId220" Type="http://schemas.openxmlformats.org/officeDocument/2006/relationships/hyperlink" Target="https://github.com/EaminC/AgentBug-Smith/blob/main/data/issues_70/issue_3584.json" TargetMode="External"/><Relationship Id="rId341" Type="http://schemas.openxmlformats.org/officeDocument/2006/relationships/hyperlink" Target="https://github.com/EaminC/AgentBug-Smith/blob/main/data/issues_80/issue_923.json" TargetMode="External"/><Relationship Id="rId462" Type="http://schemas.openxmlformats.org/officeDocument/2006/relationships/hyperlink" Target="https://github.com/EaminC/AgentBug-Smith/blob/main/data/issues_50/issue_7155.json" TargetMode="External"/><Relationship Id="rId340" Type="http://schemas.openxmlformats.org/officeDocument/2006/relationships/hyperlink" Target="https://github.com/EaminC/AgentBug-Smith/blob/main/data/issues_80/issue_921.json" TargetMode="External"/><Relationship Id="rId461" Type="http://schemas.openxmlformats.org/officeDocument/2006/relationships/hyperlink" Target="https://github.com/EaminC/AgentBug-Smith/blob/main/data/issues_50/issue_563.json" TargetMode="External"/><Relationship Id="rId460" Type="http://schemas.openxmlformats.org/officeDocument/2006/relationships/hyperlink" Target="https://github.com/EaminC/AgentBug-Smith/blob/main/data/issues_50/issue_4838.json" TargetMode="External"/><Relationship Id="rId103" Type="http://schemas.openxmlformats.org/officeDocument/2006/relationships/hyperlink" Target="https://github.com/EaminC/AgentBug-Smith/tree/main/results/all_combined_f2p/issue_1885_20260730T043836Z" TargetMode="External"/><Relationship Id="rId224" Type="http://schemas.openxmlformats.org/officeDocument/2006/relationships/hyperlink" Target="https://github.com/EaminC/AgentBug-Smith/blob/main/data/issues_70/issue_3662.json" TargetMode="External"/><Relationship Id="rId345" Type="http://schemas.openxmlformats.org/officeDocument/2006/relationships/hyperlink" Target="https://github.com/EaminC/AgentBug-Smith/blob/main/data/issues_70/issue_1016.json" TargetMode="External"/><Relationship Id="rId466" Type="http://schemas.openxmlformats.org/officeDocument/2006/relationships/hyperlink" Target="https://github.com/EaminC/AgentBug-Smith/blob/main/data/issues_25/issue_1521.json" TargetMode="External"/><Relationship Id="rId102" Type="http://schemas.openxmlformats.org/officeDocument/2006/relationships/hyperlink" Target="https://github.com/EaminC/AgentBug-Smith/blob/main/data/issues_80/issue_56.json" TargetMode="External"/><Relationship Id="rId223" Type="http://schemas.openxmlformats.org/officeDocument/2006/relationships/hyperlink" Target="https://github.com/EaminC/AgentBug-Smith/tree/main/results/all_combined_f2p/issue_411_20260510T154443Z" TargetMode="External"/><Relationship Id="rId344" Type="http://schemas.openxmlformats.org/officeDocument/2006/relationships/hyperlink" Target="https://github.com/EaminC/AgentBug-Smith/blob/main/data/issues_80/issue_974.json" TargetMode="External"/><Relationship Id="rId465" Type="http://schemas.openxmlformats.org/officeDocument/2006/relationships/hyperlink" Target="https://github.com/EaminC/AgentBug-Smith/blob/main/data/issues_25/issue_102.json" TargetMode="External"/><Relationship Id="rId101" Type="http://schemas.openxmlformats.org/officeDocument/2006/relationships/hyperlink" Target="https://github.com/EaminC/AgentBug-Smith/tree/main/results/all_combined_f2p/issue_1820_20260818T173819Z" TargetMode="External"/><Relationship Id="rId222" Type="http://schemas.openxmlformats.org/officeDocument/2006/relationships/hyperlink" Target="https://github.com/EaminC/AgentBug-Smith/blob/main/data/issues_70/issue_3633.json" TargetMode="External"/><Relationship Id="rId343" Type="http://schemas.openxmlformats.org/officeDocument/2006/relationships/hyperlink" Target="https://github.com/EaminC/AgentBug-Smith/blob/main/data/issues_80/issue_942.json" TargetMode="External"/><Relationship Id="rId464" Type="http://schemas.openxmlformats.org/officeDocument/2006/relationships/hyperlink" Target="https://github.com/EaminC/AgentBug-Smith/blob/main/data/issues_50/issue_9.json" TargetMode="External"/><Relationship Id="rId100" Type="http://schemas.openxmlformats.org/officeDocument/2006/relationships/hyperlink" Target="https://github.com/EaminC/AgentBug-Smith/blob/main/data/issues_80/issue_5557.json" TargetMode="External"/><Relationship Id="rId221" Type="http://schemas.openxmlformats.org/officeDocument/2006/relationships/hyperlink" Target="https://github.com/EaminC/AgentBug-Smith/tree/main/results/all_combined_f2p/issue_4109_20260618T125117Z" TargetMode="External"/><Relationship Id="rId342" Type="http://schemas.openxmlformats.org/officeDocument/2006/relationships/hyperlink" Target="https://github.com/EaminC/AgentBug-Smith/blob/main/data/issues_80/issue_928.json" TargetMode="External"/><Relationship Id="rId463" Type="http://schemas.openxmlformats.org/officeDocument/2006/relationships/hyperlink" Target="https://github.com/EaminC/AgentBug-Smith/blob/main/data/issues_50/issue_8009.json" TargetMode="External"/><Relationship Id="rId217" Type="http://schemas.openxmlformats.org/officeDocument/2006/relationships/hyperlink" Target="https://github.com/EaminC/AgentBug-Smith/tree/main/results/all_combined_f2p/issue_3899_20260523T160836Z" TargetMode="External"/><Relationship Id="rId338" Type="http://schemas.openxmlformats.org/officeDocument/2006/relationships/hyperlink" Target="https://github.com/EaminC/AgentBug-Smith/blob/main/data/issues_80/issue_878.json" TargetMode="External"/><Relationship Id="rId459" Type="http://schemas.openxmlformats.org/officeDocument/2006/relationships/hyperlink" Target="https://github.com/EaminC/AgentBug-Smith/blob/main/data/issues_50/issue_4376.json" TargetMode="External"/><Relationship Id="rId216" Type="http://schemas.openxmlformats.org/officeDocument/2006/relationships/hyperlink" Target="https://github.com/EaminC/AgentBug-Smith/blob/main/data/issues_70/issue_322.json" TargetMode="External"/><Relationship Id="rId337" Type="http://schemas.openxmlformats.org/officeDocument/2006/relationships/hyperlink" Target="https://github.com/EaminC/AgentBug-Smith/blob/main/data/issues_80/issue_87.json" TargetMode="External"/><Relationship Id="rId458" Type="http://schemas.openxmlformats.org/officeDocument/2006/relationships/hyperlink" Target="https://github.com/EaminC/AgentBug-Smith/blob/main/data/issues_50/issue_3954.json" TargetMode="External"/><Relationship Id="rId215" Type="http://schemas.openxmlformats.org/officeDocument/2006/relationships/hyperlink" Target="https://github.com/EaminC/AgentBug-Smith/tree/main/results/all_combined_f2p/issue_388_20260616T133519Z" TargetMode="External"/><Relationship Id="rId336" Type="http://schemas.openxmlformats.org/officeDocument/2006/relationships/hyperlink" Target="https://github.com/EaminC/AgentBug-Smith/blob/main/data/issues_80/issue_83.json" TargetMode="External"/><Relationship Id="rId457" Type="http://schemas.openxmlformats.org/officeDocument/2006/relationships/hyperlink" Target="https://github.com/EaminC/AgentBug-Smith/blob/main/data/issues_50/issue_3899.json" TargetMode="External"/><Relationship Id="rId214" Type="http://schemas.openxmlformats.org/officeDocument/2006/relationships/hyperlink" Target="https://github.com/EaminC/AgentBug-Smith/blob/main/data/issues_70/issue_302.json" TargetMode="External"/><Relationship Id="rId335" Type="http://schemas.openxmlformats.org/officeDocument/2006/relationships/hyperlink" Target="https://github.com/EaminC/AgentBug-Smith/blob/main/data/issues_80/issue_793.json" TargetMode="External"/><Relationship Id="rId456" Type="http://schemas.openxmlformats.org/officeDocument/2006/relationships/hyperlink" Target="https://github.com/EaminC/AgentBug-Smith/blob/main/data/issues_50/issue_3828.json" TargetMode="External"/><Relationship Id="rId219" Type="http://schemas.openxmlformats.org/officeDocument/2006/relationships/hyperlink" Target="https://github.com/EaminC/AgentBug-Smith/tree/main/results/all_combined_f2p/issue_3938_20260807T144335Z" TargetMode="External"/><Relationship Id="rId218" Type="http://schemas.openxmlformats.org/officeDocument/2006/relationships/hyperlink" Target="https://github.com/EaminC/AgentBug-Smith/blob/main/data/issues_70/issue_3415.json" TargetMode="External"/><Relationship Id="rId339" Type="http://schemas.openxmlformats.org/officeDocument/2006/relationships/hyperlink" Target="https://github.com/EaminC/AgentBug-Smith/blob/main/data/issues_80/issue_91.json" TargetMode="External"/><Relationship Id="rId330" Type="http://schemas.openxmlformats.org/officeDocument/2006/relationships/hyperlink" Target="https://github.com/EaminC/AgentBug-Smith/blob/main/data/issues_80/issue_682.json" TargetMode="External"/><Relationship Id="rId451" Type="http://schemas.openxmlformats.org/officeDocument/2006/relationships/hyperlink" Target="https://github.com/EaminC/AgentBug-Smith/blob/main/data/issues_50/issue_3112.json" TargetMode="External"/><Relationship Id="rId450" Type="http://schemas.openxmlformats.org/officeDocument/2006/relationships/hyperlink" Target="https://github.com/EaminC/AgentBug-Smith/blob/main/data/issues_50/issue_3079.json" TargetMode="External"/><Relationship Id="rId213" Type="http://schemas.openxmlformats.org/officeDocument/2006/relationships/hyperlink" Target="https://github.com/EaminC/AgentBug-Smith/tree/main/results/all_combined_f2p/issue_3828_20260525T192413Z" TargetMode="External"/><Relationship Id="rId334" Type="http://schemas.openxmlformats.org/officeDocument/2006/relationships/hyperlink" Target="https://github.com/EaminC/AgentBug-Smith/blob/main/data/issues_80/issue_768.json" TargetMode="External"/><Relationship Id="rId455" Type="http://schemas.openxmlformats.org/officeDocument/2006/relationships/hyperlink" Target="https://github.com/EaminC/AgentBug-Smith/blob/main/data/issues_50/issue_3583.json" TargetMode="External"/><Relationship Id="rId212" Type="http://schemas.openxmlformats.org/officeDocument/2006/relationships/hyperlink" Target="https://github.com/EaminC/AgentBug-Smith/blob/main/data/issues_70/issue_3005.json" TargetMode="External"/><Relationship Id="rId333" Type="http://schemas.openxmlformats.org/officeDocument/2006/relationships/hyperlink" Target="https://github.com/EaminC/AgentBug-Smith/blob/main/data/issues_80/issue_71.json" TargetMode="External"/><Relationship Id="rId454" Type="http://schemas.openxmlformats.org/officeDocument/2006/relationships/hyperlink" Target="https://github.com/EaminC/AgentBug-Smith/blob/main/data/issues_50/issue_3463.json" TargetMode="External"/><Relationship Id="rId211" Type="http://schemas.openxmlformats.org/officeDocument/2006/relationships/hyperlink" Target="https://github.com/EaminC/AgentBug-Smith/tree/main/results/all_combined_f2p/issue_350_20260813T145604Z" TargetMode="External"/><Relationship Id="rId332" Type="http://schemas.openxmlformats.org/officeDocument/2006/relationships/hyperlink" Target="https://github.com/EaminC/AgentBug-Smith/blob/main/data/issues_80/issue_700.json" TargetMode="External"/><Relationship Id="rId453" Type="http://schemas.openxmlformats.org/officeDocument/2006/relationships/hyperlink" Target="https://github.com/EaminC/AgentBug-Smith/blob/main/data/issues_50/issue_3391.json" TargetMode="External"/><Relationship Id="rId210" Type="http://schemas.openxmlformats.org/officeDocument/2006/relationships/hyperlink" Target="https://github.com/EaminC/AgentBug-Smith/blob/main/data/issues_70/issue_298.json" TargetMode="External"/><Relationship Id="rId331" Type="http://schemas.openxmlformats.org/officeDocument/2006/relationships/hyperlink" Target="https://github.com/EaminC/AgentBug-Smith/blob/main/data/issues_80/issue_70.json" TargetMode="External"/><Relationship Id="rId452" Type="http://schemas.openxmlformats.org/officeDocument/2006/relationships/hyperlink" Target="https://github.com/EaminC/AgentBug-Smith/blob/main/data/issues_50/issue_3152.json" TargetMode="External"/><Relationship Id="rId370" Type="http://schemas.openxmlformats.org/officeDocument/2006/relationships/hyperlink" Target="https://github.com/EaminC/AgentBug-Smith/blob/main/data/issues_70/issue_3005.json" TargetMode="External"/><Relationship Id="rId491" Type="http://schemas.openxmlformats.org/officeDocument/2006/relationships/hyperlink" Target="https://github.com/VoltAgent/voltagent/issues/87" TargetMode="External"/><Relationship Id="rId490" Type="http://schemas.openxmlformats.org/officeDocument/2006/relationships/hyperlink" Target="https://github.com/dapr/dapr-agents/issues/83" TargetMode="External"/><Relationship Id="rId129" Type="http://schemas.openxmlformats.org/officeDocument/2006/relationships/hyperlink" Target="https://github.com/EaminC/AgentBug-Smith/tree/main/results/all_combined_f2p/issue_2089_20260823T001916Z" TargetMode="External"/><Relationship Id="rId128" Type="http://schemas.openxmlformats.org/officeDocument/2006/relationships/hyperlink" Target="https://github.com/EaminC/AgentBug-Smith/blob/main/data/issues_80/issue_6585.json" TargetMode="External"/><Relationship Id="rId249" Type="http://schemas.openxmlformats.org/officeDocument/2006/relationships/hyperlink" Target="https://github.com/EaminC/AgentBug-Smith/tree/main/results/all_combined_f2p/issue_70_20260512T041132Z" TargetMode="External"/><Relationship Id="rId127" Type="http://schemas.openxmlformats.org/officeDocument/2006/relationships/hyperlink" Target="https://github.com/EaminC/AgentBug-Smith/tree/main/results/all_combined_f2p/issue_2055_20260730T044249Z" TargetMode="External"/><Relationship Id="rId248" Type="http://schemas.openxmlformats.org/officeDocument/2006/relationships/hyperlink" Target="https://github.com/EaminC/AgentBug-Smith/blob/main/data/issues_70/issue_5452.json" TargetMode="External"/><Relationship Id="rId369" Type="http://schemas.openxmlformats.org/officeDocument/2006/relationships/hyperlink" Target="https://github.com/EaminC/AgentBug-Smith/blob/main/data/issues_70/issue_298.json" TargetMode="External"/><Relationship Id="rId126" Type="http://schemas.openxmlformats.org/officeDocument/2006/relationships/hyperlink" Target="https://github.com/EaminC/AgentBug-Smith/blob/main/data/issues_80/issue_6465.json" TargetMode="External"/><Relationship Id="rId247" Type="http://schemas.openxmlformats.org/officeDocument/2006/relationships/hyperlink" Target="https://github.com/EaminC/AgentBug-Smith/tree/main/results/all_combined_f2p/issue_667_20260814T105805Z" TargetMode="External"/><Relationship Id="rId368" Type="http://schemas.openxmlformats.org/officeDocument/2006/relationships/hyperlink" Target="https://github.com/EaminC/AgentBug-Smith/blob/main/data/issues_70/issue_2864.json" TargetMode="External"/><Relationship Id="rId489" Type="http://schemas.openxmlformats.org/officeDocument/2006/relationships/hyperlink" Target="https://github.com/EaminC/AgentBug-Smith/blob/main/data/issues_25/issue_931.json" TargetMode="External"/><Relationship Id="rId121" Type="http://schemas.openxmlformats.org/officeDocument/2006/relationships/hyperlink" Target="https://github.com/EaminC/AgentBug-Smith/tree/main/results/all_combined_f2p/issue_2000_20260808T192026Z" TargetMode="External"/><Relationship Id="rId242" Type="http://schemas.openxmlformats.org/officeDocument/2006/relationships/hyperlink" Target="https://github.com/EaminC/AgentBug-Smith/blob/main/data/issues_70/issue_5338.json" TargetMode="External"/><Relationship Id="rId363" Type="http://schemas.openxmlformats.org/officeDocument/2006/relationships/hyperlink" Target="https://github.com/EaminC/AgentBug-Smith/blob/main/data/issues_70/issue_253.json" TargetMode="External"/><Relationship Id="rId484" Type="http://schemas.openxmlformats.org/officeDocument/2006/relationships/hyperlink" Target="https://github.com/EaminC/AgentBug-Smith/blob/main/data/issues_25/issue_4822.json" TargetMode="External"/><Relationship Id="rId120" Type="http://schemas.openxmlformats.org/officeDocument/2006/relationships/hyperlink" Target="https://github.com/EaminC/AgentBug-Smith/blob/main/data/issues_80/issue_6212.json" TargetMode="External"/><Relationship Id="rId241" Type="http://schemas.openxmlformats.org/officeDocument/2006/relationships/hyperlink" Target="https://github.com/EaminC/AgentBug-Smith/tree/main/results/all_combined_f2p/issue_596_20260706T040852Z" TargetMode="External"/><Relationship Id="rId362" Type="http://schemas.openxmlformats.org/officeDocument/2006/relationships/hyperlink" Target="https://github.com/EaminC/AgentBug-Smith/blob/main/data/issues_70/issue_245.json" TargetMode="External"/><Relationship Id="rId483" Type="http://schemas.openxmlformats.org/officeDocument/2006/relationships/hyperlink" Target="https://github.com/EaminC/AgentBug-Smith/blob/main/data/issues_25/issue_4647.json" TargetMode="External"/><Relationship Id="rId240" Type="http://schemas.openxmlformats.org/officeDocument/2006/relationships/hyperlink" Target="https://github.com/EaminC/AgentBug-Smith/blob/main/data/issues_70/issue_5178.json" TargetMode="External"/><Relationship Id="rId361" Type="http://schemas.openxmlformats.org/officeDocument/2006/relationships/hyperlink" Target="https://github.com/EaminC/AgentBug-Smith/blob/main/data/issues_70/issue_220.json" TargetMode="External"/><Relationship Id="rId482" Type="http://schemas.openxmlformats.org/officeDocument/2006/relationships/hyperlink" Target="https://github.com/EaminC/AgentBug-Smith/blob/main/data/issues_25/issue_3906.json" TargetMode="External"/><Relationship Id="rId360" Type="http://schemas.openxmlformats.org/officeDocument/2006/relationships/hyperlink" Target="https://github.com/EaminC/AgentBug-Smith/blob/main/data/issues_70/issue_211.json" TargetMode="External"/><Relationship Id="rId481" Type="http://schemas.openxmlformats.org/officeDocument/2006/relationships/hyperlink" Target="https://github.com/EaminC/AgentBug-Smith/blob/main/data/issues_25/issue_2985.json" TargetMode="External"/><Relationship Id="rId125" Type="http://schemas.openxmlformats.org/officeDocument/2006/relationships/hyperlink" Target="https://github.com/EaminC/AgentBug-Smith/tree/main/results/all_combined_f2p/issue_2052_20260729T231408Z" TargetMode="External"/><Relationship Id="rId246" Type="http://schemas.openxmlformats.org/officeDocument/2006/relationships/hyperlink" Target="https://github.com/EaminC/AgentBug-Smith/blob/main/data/issues_70/issue_536.json" TargetMode="External"/><Relationship Id="rId367" Type="http://schemas.openxmlformats.org/officeDocument/2006/relationships/hyperlink" Target="https://github.com/EaminC/AgentBug-Smith/blob/main/data/issues_70/issue_270.json" TargetMode="External"/><Relationship Id="rId488" Type="http://schemas.openxmlformats.org/officeDocument/2006/relationships/hyperlink" Target="https://github.com/EaminC/AgentBug-Smith/blob/main/data/issues_25/issue_6321.json" TargetMode="External"/><Relationship Id="rId124" Type="http://schemas.openxmlformats.org/officeDocument/2006/relationships/hyperlink" Target="https://github.com/EaminC/AgentBug-Smith/blob/main/data/issues_80/issue_6409.json" TargetMode="External"/><Relationship Id="rId245" Type="http://schemas.openxmlformats.org/officeDocument/2006/relationships/hyperlink" Target="https://github.com/EaminC/AgentBug-Smith/tree/main/results/all_combined_f2p/issue_6585_20260805T202509Z" TargetMode="External"/><Relationship Id="rId366" Type="http://schemas.openxmlformats.org/officeDocument/2006/relationships/hyperlink" Target="https://github.com/EaminC/AgentBug-Smith/blob/main/data/issues_70/issue_266.json" TargetMode="External"/><Relationship Id="rId487" Type="http://schemas.openxmlformats.org/officeDocument/2006/relationships/hyperlink" Target="https://github.com/EaminC/AgentBug-Smith/blob/main/data/issues_25/issue_63.json" TargetMode="External"/><Relationship Id="rId123" Type="http://schemas.openxmlformats.org/officeDocument/2006/relationships/hyperlink" Target="https://github.com/EaminC/AgentBug-Smith/tree/main/results/all_combined_f2p/issue_2007_20260819T163823Z" TargetMode="External"/><Relationship Id="rId244" Type="http://schemas.openxmlformats.org/officeDocument/2006/relationships/hyperlink" Target="https://github.com/EaminC/AgentBug-Smith/blob/main/data/issues_70/issue_5343.json" TargetMode="External"/><Relationship Id="rId365" Type="http://schemas.openxmlformats.org/officeDocument/2006/relationships/hyperlink" Target="https://github.com/EaminC/AgentBug-Smith/blob/main/data/issues_70/issue_2598.json" TargetMode="External"/><Relationship Id="rId486" Type="http://schemas.openxmlformats.org/officeDocument/2006/relationships/hyperlink" Target="https://github.com/EaminC/AgentBug-Smith/blob/main/data/issues_25/issue_625.json" TargetMode="External"/><Relationship Id="rId122" Type="http://schemas.openxmlformats.org/officeDocument/2006/relationships/hyperlink" Target="https://github.com/EaminC/AgentBug-Smith/blob/main/data/issues_80/issue_6302.json" TargetMode="External"/><Relationship Id="rId243" Type="http://schemas.openxmlformats.org/officeDocument/2006/relationships/hyperlink" Target="https://github.com/EaminC/AgentBug-Smith/tree/main/results/all_combined_f2p/issue_6050_20260805T172922Z" TargetMode="External"/><Relationship Id="rId364" Type="http://schemas.openxmlformats.org/officeDocument/2006/relationships/hyperlink" Target="https://github.com/EaminC/AgentBug-Smith/blob/main/data/issues_70/issue_259.json" TargetMode="External"/><Relationship Id="rId485" Type="http://schemas.openxmlformats.org/officeDocument/2006/relationships/hyperlink" Target="https://github.com/EaminC/AgentBug-Smith/blob/main/data/issues_25/issue_502.json" TargetMode="External"/><Relationship Id="rId95" Type="http://schemas.openxmlformats.org/officeDocument/2006/relationships/hyperlink" Target="https://github.com/EaminC/AgentBug-Smith/tree/main/results/all_combined_f2p/issue_1810_20260818T170408Z" TargetMode="External"/><Relationship Id="rId94" Type="http://schemas.openxmlformats.org/officeDocument/2006/relationships/hyperlink" Target="https://github.com/EaminC/AgentBug-Smith/blob/main/data/issues_80/issue_4543.json" TargetMode="External"/><Relationship Id="rId97" Type="http://schemas.openxmlformats.org/officeDocument/2006/relationships/hyperlink" Target="https://github.com/EaminC/AgentBug-Smith/tree/main/results/all_combined_f2p/issue_1813_20260818T170656Z" TargetMode="External"/><Relationship Id="rId96" Type="http://schemas.openxmlformats.org/officeDocument/2006/relationships/hyperlink" Target="https://github.com/EaminC/AgentBug-Smith/blob/main/data/issues_80/issue_4841.json" TargetMode="External"/><Relationship Id="rId99" Type="http://schemas.openxmlformats.org/officeDocument/2006/relationships/hyperlink" Target="https://github.com/EaminC/AgentBug-Smith/tree/main/results/all_combined_f2p/issue_182_20260629T003502Z" TargetMode="External"/><Relationship Id="rId480" Type="http://schemas.openxmlformats.org/officeDocument/2006/relationships/hyperlink" Target="https://github.com/EaminC/AgentBug-Smith/blob/main/data/issues_25/issue_2910.json" TargetMode="External"/><Relationship Id="rId98" Type="http://schemas.openxmlformats.org/officeDocument/2006/relationships/hyperlink" Target="https://github.com/EaminC/AgentBug-Smith/blob/main/data/issues_80/issue_513.json" TargetMode="External"/><Relationship Id="rId91" Type="http://schemas.openxmlformats.org/officeDocument/2006/relationships/hyperlink" Target="https://github.com/EaminC/AgentBug-Smith/tree/main/results/all_combined_f2p/issue_1792_20260730T040633Z" TargetMode="External"/><Relationship Id="rId90" Type="http://schemas.openxmlformats.org/officeDocument/2006/relationships/hyperlink" Target="https://github.com/EaminC/AgentBug-Smith/blob/main/data/issues_80/issue_429.json" TargetMode="External"/><Relationship Id="rId93" Type="http://schemas.openxmlformats.org/officeDocument/2006/relationships/hyperlink" Target="https://github.com/EaminC/AgentBug-Smith/tree/main/results/all_combined_f2p/issue_1793_20260826T195023Z" TargetMode="External"/><Relationship Id="rId92" Type="http://schemas.openxmlformats.org/officeDocument/2006/relationships/hyperlink" Target="https://github.com/EaminC/AgentBug-Smith/blob/main/data/issues_80/issue_441.json" TargetMode="External"/><Relationship Id="rId118" Type="http://schemas.openxmlformats.org/officeDocument/2006/relationships/hyperlink" Target="https://github.com/EaminC/AgentBug-Smith/blob/main/data/issues_80/issue_6072.json" TargetMode="External"/><Relationship Id="rId239" Type="http://schemas.openxmlformats.org/officeDocument/2006/relationships/hyperlink" Target="https://github.com/EaminC/AgentBug-Smith/tree/main/results/all_combined_f2p/issue_590_20260814T081942Z" TargetMode="External"/><Relationship Id="rId117" Type="http://schemas.openxmlformats.org/officeDocument/2006/relationships/hyperlink" Target="https://github.com/EaminC/AgentBug-Smith/tree/main/results/all_combined_f2p/issue_196_20260629T055224Z" TargetMode="External"/><Relationship Id="rId238" Type="http://schemas.openxmlformats.org/officeDocument/2006/relationships/hyperlink" Target="https://github.com/EaminC/AgentBug-Smith/blob/main/data/issues_70/issue_4947.json" TargetMode="External"/><Relationship Id="rId359" Type="http://schemas.openxmlformats.org/officeDocument/2006/relationships/hyperlink" Target="https://github.com/EaminC/AgentBug-Smith/blob/main/data/issues_70/issue_184.json" TargetMode="External"/><Relationship Id="rId116" Type="http://schemas.openxmlformats.org/officeDocument/2006/relationships/hyperlink" Target="https://github.com/EaminC/AgentBug-Smith/blob/main/data/issues_80/issue_6050.json" TargetMode="External"/><Relationship Id="rId237" Type="http://schemas.openxmlformats.org/officeDocument/2006/relationships/hyperlink" Target="https://github.com/EaminC/AgentBug-Smith/tree/main/results/all_combined_f2p/issue_579_20260814T054708Z" TargetMode="External"/><Relationship Id="rId358" Type="http://schemas.openxmlformats.org/officeDocument/2006/relationships/hyperlink" Target="https://github.com/EaminC/AgentBug-Smith/blob/main/data/issues_70/issue_166.json" TargetMode="External"/><Relationship Id="rId479" Type="http://schemas.openxmlformats.org/officeDocument/2006/relationships/hyperlink" Target="https://github.com/EaminC/AgentBug-Smith/blob/main/data/issues_25/issue_2734.json" TargetMode="External"/><Relationship Id="rId115" Type="http://schemas.openxmlformats.org/officeDocument/2006/relationships/hyperlink" Target="https://github.com/EaminC/AgentBug-Smith/tree/main/results/all_combined_f2p/issue_194_20260623T191609Z" TargetMode="External"/><Relationship Id="rId236" Type="http://schemas.openxmlformats.org/officeDocument/2006/relationships/hyperlink" Target="https://github.com/EaminC/AgentBug-Smith/blob/main/data/issues_70/issue_442.json" TargetMode="External"/><Relationship Id="rId357" Type="http://schemas.openxmlformats.org/officeDocument/2006/relationships/hyperlink" Target="https://github.com/EaminC/AgentBug-Smith/blob/main/data/issues_70/issue_160.json" TargetMode="External"/><Relationship Id="rId478" Type="http://schemas.openxmlformats.org/officeDocument/2006/relationships/hyperlink" Target="https://github.com/EaminC/AgentBug-Smith/blob/main/data/issues_25/issue_2632.json" TargetMode="External"/><Relationship Id="rId119" Type="http://schemas.openxmlformats.org/officeDocument/2006/relationships/hyperlink" Target="https://github.com/EaminC/AgentBug-Smith/tree/main/results/all_combined_f2p/issue_1965_20260729T165449Z" TargetMode="External"/><Relationship Id="rId110" Type="http://schemas.openxmlformats.org/officeDocument/2006/relationships/hyperlink" Target="https://github.com/EaminC/AgentBug-Smith/blob/main/data/issues_80/issue_5769.json" TargetMode="External"/><Relationship Id="rId231" Type="http://schemas.openxmlformats.org/officeDocument/2006/relationships/hyperlink" Target="https://github.com/EaminC/AgentBug-Smith/tree/main/results/all_combined_f2p/issue_5700_20260805T150027Z" TargetMode="External"/><Relationship Id="rId352" Type="http://schemas.openxmlformats.org/officeDocument/2006/relationships/hyperlink" Target="https://github.com/EaminC/AgentBug-Smith/blob/main/data/issues_70/issue_1275.json" TargetMode="External"/><Relationship Id="rId473" Type="http://schemas.openxmlformats.org/officeDocument/2006/relationships/hyperlink" Target="https://github.com/EaminC/AgentBug-Smith/blob/main/data/issues_25/issue_196.json" TargetMode="External"/><Relationship Id="rId230" Type="http://schemas.openxmlformats.org/officeDocument/2006/relationships/hyperlink" Target="https://github.com/EaminC/AgentBug-Smith/blob/main/data/issues_70/issue_4182.json" TargetMode="External"/><Relationship Id="rId351" Type="http://schemas.openxmlformats.org/officeDocument/2006/relationships/hyperlink" Target="https://github.com/EaminC/AgentBug-Smith/blob/main/data/issues_70/issue_1220.json" TargetMode="External"/><Relationship Id="rId472" Type="http://schemas.openxmlformats.org/officeDocument/2006/relationships/hyperlink" Target="https://github.com/EaminC/AgentBug-Smith/blob/main/data/issues_25/issue_182.json" TargetMode="External"/><Relationship Id="rId350" Type="http://schemas.openxmlformats.org/officeDocument/2006/relationships/hyperlink" Target="https://github.com/EaminC/AgentBug-Smith/blob/main/data/issues_70/issue_1174.json" TargetMode="External"/><Relationship Id="rId471" Type="http://schemas.openxmlformats.org/officeDocument/2006/relationships/hyperlink" Target="https://github.com/EaminC/AgentBug-Smith/blob/main/data/issues_25/issue_181.json" TargetMode="External"/><Relationship Id="rId470" Type="http://schemas.openxmlformats.org/officeDocument/2006/relationships/hyperlink" Target="https://github.com/EaminC/AgentBug-Smith/blob/main/data/issues_25/issue_1790.json" TargetMode="External"/><Relationship Id="rId114" Type="http://schemas.openxmlformats.org/officeDocument/2006/relationships/hyperlink" Target="https://github.com/EaminC/AgentBug-Smith/blob/main/data/issues_80/issue_5787.json" TargetMode="External"/><Relationship Id="rId235" Type="http://schemas.openxmlformats.org/officeDocument/2006/relationships/hyperlink" Target="https://github.com/EaminC/AgentBug-Smith/tree/main/results/all_combined_f2p/issue_5787_20260805T122049Z" TargetMode="External"/><Relationship Id="rId356" Type="http://schemas.openxmlformats.org/officeDocument/2006/relationships/hyperlink" Target="https://github.com/EaminC/AgentBug-Smith/blob/main/data/issues_70/issue_1539.json" TargetMode="External"/><Relationship Id="rId477" Type="http://schemas.openxmlformats.org/officeDocument/2006/relationships/hyperlink" Target="https://github.com/EaminC/AgentBug-Smith/blob/main/data/issues_25/issue_258.json" TargetMode="External"/><Relationship Id="rId113" Type="http://schemas.openxmlformats.org/officeDocument/2006/relationships/hyperlink" Target="https://github.com/EaminC/AgentBug-Smith/tree/main/results/all_combined_f2p/issue_1924_20260810T103452Z" TargetMode="External"/><Relationship Id="rId234" Type="http://schemas.openxmlformats.org/officeDocument/2006/relationships/hyperlink" Target="https://github.com/EaminC/AgentBug-Smith/blob/main/data/issues_70/issue_4334.json" TargetMode="External"/><Relationship Id="rId355" Type="http://schemas.openxmlformats.org/officeDocument/2006/relationships/hyperlink" Target="https://github.com/EaminC/AgentBug-Smith/blob/main/data/issues_70/issue_149.json" TargetMode="External"/><Relationship Id="rId476" Type="http://schemas.openxmlformats.org/officeDocument/2006/relationships/hyperlink" Target="https://github.com/EaminC/AgentBug-Smith/blob/main/data/issues_25/issue_2307.json" TargetMode="External"/><Relationship Id="rId112" Type="http://schemas.openxmlformats.org/officeDocument/2006/relationships/hyperlink" Target="https://github.com/EaminC/AgentBug-Smith/blob/main/data/issues_80/issue_5784.json" TargetMode="External"/><Relationship Id="rId233" Type="http://schemas.openxmlformats.org/officeDocument/2006/relationships/hyperlink" Target="https://github.com/EaminC/AgentBug-Smith/tree/main/results/all_combined_f2p/issue_5784_20260805T155858Z" TargetMode="External"/><Relationship Id="rId354" Type="http://schemas.openxmlformats.org/officeDocument/2006/relationships/hyperlink" Target="https://github.com/EaminC/AgentBug-Smith/blob/main/data/issues_70/issue_1430.json" TargetMode="External"/><Relationship Id="rId475" Type="http://schemas.openxmlformats.org/officeDocument/2006/relationships/hyperlink" Target="https://github.com/EaminC/AgentBug-Smith/blob/main/data/issues_25/issue_2150.json" TargetMode="External"/><Relationship Id="rId111" Type="http://schemas.openxmlformats.org/officeDocument/2006/relationships/hyperlink" Target="https://github.com/EaminC/AgentBug-Smith/tree/main/results/all_combined_f2p/issue_1904_20260729T163017Z" TargetMode="External"/><Relationship Id="rId232" Type="http://schemas.openxmlformats.org/officeDocument/2006/relationships/hyperlink" Target="https://github.com/EaminC/AgentBug-Smith/blob/main/data/issues_70/issue_43.json" TargetMode="External"/><Relationship Id="rId353" Type="http://schemas.openxmlformats.org/officeDocument/2006/relationships/hyperlink" Target="https://github.com/EaminC/AgentBug-Smith/blob/main/data/issues_70/issue_1327.json" TargetMode="External"/><Relationship Id="rId474" Type="http://schemas.openxmlformats.org/officeDocument/2006/relationships/hyperlink" Target="https://github.com/EaminC/AgentBug-Smith/blob/main/data/issues_25/issue_2105.json" TargetMode="External"/><Relationship Id="rId305" Type="http://schemas.openxmlformats.org/officeDocument/2006/relationships/hyperlink" Target="https://github.com/EaminC/AgentBug-Smith/blob/main/data/issues_80/issue_4072.json" TargetMode="External"/><Relationship Id="rId426" Type="http://schemas.openxmlformats.org/officeDocument/2006/relationships/hyperlink" Target="https://github.com/EaminC/AgentBug-Smith/blob/main/data/issues_50/issue_1503.json" TargetMode="External"/><Relationship Id="rId304" Type="http://schemas.openxmlformats.org/officeDocument/2006/relationships/hyperlink" Target="https://github.com/EaminC/AgentBug-Smith/blob/main/data/issues_80/issue_40.json" TargetMode="External"/><Relationship Id="rId425" Type="http://schemas.openxmlformats.org/officeDocument/2006/relationships/hyperlink" Target="https://github.com/EaminC/AgentBug-Smith/blob/main/data/issues_50/issue_1490.json" TargetMode="External"/><Relationship Id="rId303" Type="http://schemas.openxmlformats.org/officeDocument/2006/relationships/hyperlink" Target="https://github.com/EaminC/AgentBug-Smith/blob/main/data/issues_80/issue_3988.json" TargetMode="External"/><Relationship Id="rId424" Type="http://schemas.openxmlformats.org/officeDocument/2006/relationships/hyperlink" Target="https://github.com/EaminC/AgentBug-Smith/blob/main/data/issues_50/issue_1476.json" TargetMode="External"/><Relationship Id="rId302" Type="http://schemas.openxmlformats.org/officeDocument/2006/relationships/hyperlink" Target="https://github.com/EaminC/AgentBug-Smith/blob/main/data/issues_80/issue_3979.json" TargetMode="External"/><Relationship Id="rId423" Type="http://schemas.openxmlformats.org/officeDocument/2006/relationships/hyperlink" Target="https://github.com/EaminC/AgentBug-Smith/blob/main/data/issues_50/issue_1391.json" TargetMode="External"/><Relationship Id="rId309" Type="http://schemas.openxmlformats.org/officeDocument/2006/relationships/hyperlink" Target="https://github.com/EaminC/AgentBug-Smith/blob/main/data/issues_80/issue_429.json" TargetMode="External"/><Relationship Id="rId308" Type="http://schemas.openxmlformats.org/officeDocument/2006/relationships/hyperlink" Target="https://github.com/EaminC/AgentBug-Smith/blob/main/data/issues_80/issue_4229.json" TargetMode="External"/><Relationship Id="rId429" Type="http://schemas.openxmlformats.org/officeDocument/2006/relationships/hyperlink" Target="https://github.com/EaminC/AgentBug-Smith/blob/main/data/issues_50/issue_1869.json" TargetMode="External"/><Relationship Id="rId307" Type="http://schemas.openxmlformats.org/officeDocument/2006/relationships/hyperlink" Target="https://github.com/EaminC/AgentBug-Smith/blob/main/data/issues_80/issue_411.json" TargetMode="External"/><Relationship Id="rId428" Type="http://schemas.openxmlformats.org/officeDocument/2006/relationships/hyperlink" Target="https://github.com/EaminC/AgentBug-Smith/blob/main/data/issues_50/issue_1703.json" TargetMode="External"/><Relationship Id="rId306" Type="http://schemas.openxmlformats.org/officeDocument/2006/relationships/hyperlink" Target="https://github.com/EaminC/AgentBug-Smith/blob/main/data/issues_80/issue_4109.json" TargetMode="External"/><Relationship Id="rId427" Type="http://schemas.openxmlformats.org/officeDocument/2006/relationships/hyperlink" Target="https://github.com/EaminC/AgentBug-Smith/blob/main/data/issues_50/issue_159.json" TargetMode="External"/><Relationship Id="rId301" Type="http://schemas.openxmlformats.org/officeDocument/2006/relationships/hyperlink" Target="https://github.com/EaminC/AgentBug-Smith/blob/main/data/issues_80/issue_388.json" TargetMode="External"/><Relationship Id="rId422" Type="http://schemas.openxmlformats.org/officeDocument/2006/relationships/hyperlink" Target="https://github.com/EaminC/AgentBug-Smith/blob/main/data/issues_50/issue_1381.json" TargetMode="External"/><Relationship Id="rId300" Type="http://schemas.openxmlformats.org/officeDocument/2006/relationships/hyperlink" Target="https://github.com/EaminC/AgentBug-Smith/blob/main/data/issues_80/issue_33_MLE.json" TargetMode="External"/><Relationship Id="rId421" Type="http://schemas.openxmlformats.org/officeDocument/2006/relationships/hyperlink" Target="https://github.com/EaminC/AgentBug-Smith/blob/main/data/issues_50/issue_1351.json" TargetMode="External"/><Relationship Id="rId420" Type="http://schemas.openxmlformats.org/officeDocument/2006/relationships/hyperlink" Target="https://github.com/EaminC/AgentBug-Smith/blob/main/data/issues_50/issue_1336.json" TargetMode="External"/><Relationship Id="rId415" Type="http://schemas.openxmlformats.org/officeDocument/2006/relationships/hyperlink" Target="https://github.com/EaminC/AgentBug-Smith/blob/main/data/issues_50/issue_1058.json" TargetMode="External"/><Relationship Id="rId414" Type="http://schemas.openxmlformats.org/officeDocument/2006/relationships/hyperlink" Target="https://github.com/EaminC/AgentBug-Smith/blob/main/data/issues_70/issue_979.json" TargetMode="External"/><Relationship Id="rId413" Type="http://schemas.openxmlformats.org/officeDocument/2006/relationships/hyperlink" Target="https://github.com/EaminC/AgentBug-Smith/blob/main/data/issues_70/issue_962.json" TargetMode="External"/><Relationship Id="rId412" Type="http://schemas.openxmlformats.org/officeDocument/2006/relationships/hyperlink" Target="https://github.com/EaminC/AgentBug-Smith/blob/main/data/issues_70/issue_959.json" TargetMode="External"/><Relationship Id="rId419" Type="http://schemas.openxmlformats.org/officeDocument/2006/relationships/hyperlink" Target="https://github.com/EaminC/AgentBug-Smith/blob/main/data/issues_50/issue_1297.json" TargetMode="External"/><Relationship Id="rId418" Type="http://schemas.openxmlformats.org/officeDocument/2006/relationships/hyperlink" Target="https://github.com/EaminC/AgentBug-Smith/blob/main/data/issues_50/issue_1160.json" TargetMode="External"/><Relationship Id="rId417" Type="http://schemas.openxmlformats.org/officeDocument/2006/relationships/hyperlink" Target="https://github.com/EaminC/AgentBug-Smith/blob/main/data/issues_50/issue_1153.json" TargetMode="External"/><Relationship Id="rId416" Type="http://schemas.openxmlformats.org/officeDocument/2006/relationships/hyperlink" Target="https://github.com/EaminC/AgentBug-Smith/blob/main/data/issues_50/issue_1110.json" TargetMode="External"/><Relationship Id="rId411" Type="http://schemas.openxmlformats.org/officeDocument/2006/relationships/hyperlink" Target="https://github.com/EaminC/AgentBug-Smith/blob/main/data/issues_70/issue_9409.json" TargetMode="External"/><Relationship Id="rId410" Type="http://schemas.openxmlformats.org/officeDocument/2006/relationships/hyperlink" Target="https://github.com/EaminC/AgentBug-Smith/blob/main/data/issues_70/issue_905.json" TargetMode="External"/><Relationship Id="rId206" Type="http://schemas.openxmlformats.org/officeDocument/2006/relationships/hyperlink" Target="https://github.com/EaminC/AgentBug-Smith/blob/main/data/issues_70/issue_270.json" TargetMode="External"/><Relationship Id="rId327" Type="http://schemas.openxmlformats.org/officeDocument/2006/relationships/hyperlink" Target="https://github.com/EaminC/AgentBug-Smith/blob/main/data/issues_80/issue_6465.json" TargetMode="External"/><Relationship Id="rId448" Type="http://schemas.openxmlformats.org/officeDocument/2006/relationships/hyperlink" Target="https://github.com/EaminC/AgentBug-Smith/blob/main/data/issues_50/issue_2899.json" TargetMode="External"/><Relationship Id="rId205" Type="http://schemas.openxmlformats.org/officeDocument/2006/relationships/hyperlink" Target="https://github.com/EaminC/AgentBug-Smith/tree/main/results/all_combined_f2p/issue_3391_20260523T120852Z" TargetMode="External"/><Relationship Id="rId326" Type="http://schemas.openxmlformats.org/officeDocument/2006/relationships/hyperlink" Target="https://github.com/EaminC/AgentBug-Smith/blob/main/data/issues_80/issue_6409.json" TargetMode="External"/><Relationship Id="rId447" Type="http://schemas.openxmlformats.org/officeDocument/2006/relationships/hyperlink" Target="https://github.com/EaminC/AgentBug-Smith/blob/main/data/issues_50/issue_2871.json" TargetMode="External"/><Relationship Id="rId204" Type="http://schemas.openxmlformats.org/officeDocument/2006/relationships/hyperlink" Target="https://github.com/EaminC/AgentBug-Smith/blob/main/data/issues_70/issue_266.json" TargetMode="External"/><Relationship Id="rId325" Type="http://schemas.openxmlformats.org/officeDocument/2006/relationships/hyperlink" Target="https://github.com/EaminC/AgentBug-Smith/blob/main/data/issues_80/issue_6302.json" TargetMode="External"/><Relationship Id="rId446" Type="http://schemas.openxmlformats.org/officeDocument/2006/relationships/hyperlink" Target="https://github.com/EaminC/AgentBug-Smith/blob/main/data/issues_50/issue_2789.json" TargetMode="External"/><Relationship Id="rId203" Type="http://schemas.openxmlformats.org/officeDocument/2006/relationships/hyperlink" Target="https://github.com/EaminC/AgentBug-Smith/tree/main/results/all_combined_f2p/issue_3388_20260822T080336Z" TargetMode="External"/><Relationship Id="rId324" Type="http://schemas.openxmlformats.org/officeDocument/2006/relationships/hyperlink" Target="https://github.com/EaminC/AgentBug-Smith/blob/main/data/issues_80/issue_6212.json" TargetMode="External"/><Relationship Id="rId445" Type="http://schemas.openxmlformats.org/officeDocument/2006/relationships/hyperlink" Target="https://github.com/EaminC/AgentBug-Smith/blob/main/data/issues_50/issue_2776.json" TargetMode="External"/><Relationship Id="rId209" Type="http://schemas.openxmlformats.org/officeDocument/2006/relationships/hyperlink" Target="https://github.com/EaminC/AgentBug-Smith/tree/main/results/all_combined_f2p/issue_3493_20260822T091738Z" TargetMode="External"/><Relationship Id="rId208" Type="http://schemas.openxmlformats.org/officeDocument/2006/relationships/hyperlink" Target="https://github.com/EaminC/AgentBug-Smith/blob/main/data/issues_70/issue_2864.json" TargetMode="External"/><Relationship Id="rId329" Type="http://schemas.openxmlformats.org/officeDocument/2006/relationships/hyperlink" Target="https://github.com/EaminC/AgentBug-Smith/blob/main/data/issues_80/issue_66.json" TargetMode="External"/><Relationship Id="rId207" Type="http://schemas.openxmlformats.org/officeDocument/2006/relationships/hyperlink" Target="https://github.com/EaminC/AgentBug-Smith/tree/main/results/all_combined_f2p/issue_3425_20260824T015929Z" TargetMode="External"/><Relationship Id="rId328" Type="http://schemas.openxmlformats.org/officeDocument/2006/relationships/hyperlink" Target="https://github.com/EaminC/AgentBug-Smith/blob/main/data/issues_80/issue_6585.json" TargetMode="External"/><Relationship Id="rId449" Type="http://schemas.openxmlformats.org/officeDocument/2006/relationships/hyperlink" Target="https://github.com/EaminC/AgentBug-Smith/blob/main/data/issues_50/issue_2968.json" TargetMode="External"/><Relationship Id="rId440" Type="http://schemas.openxmlformats.org/officeDocument/2006/relationships/hyperlink" Target="https://github.com/EaminC/AgentBug-Smith/blob/main/data/issues_50/issue_2543.json" TargetMode="External"/><Relationship Id="rId202" Type="http://schemas.openxmlformats.org/officeDocument/2006/relationships/hyperlink" Target="https://github.com/EaminC/AgentBug-Smith/blob/main/data/issues_70/issue_2598.json" TargetMode="External"/><Relationship Id="rId323" Type="http://schemas.openxmlformats.org/officeDocument/2006/relationships/hyperlink" Target="https://github.com/EaminC/AgentBug-Smith/blob/main/data/issues_80/issue_6072.json" TargetMode="External"/><Relationship Id="rId444" Type="http://schemas.openxmlformats.org/officeDocument/2006/relationships/hyperlink" Target="https://github.com/EaminC/AgentBug-Smith/blob/main/data/issues_50/issue_2593.json" TargetMode="External"/><Relationship Id="rId201" Type="http://schemas.openxmlformats.org/officeDocument/2006/relationships/hyperlink" Target="https://github.com/EaminC/AgentBug-Smith/tree/main/results/all_combined_f2p/issue_337_20260813T113844Z" TargetMode="External"/><Relationship Id="rId322" Type="http://schemas.openxmlformats.org/officeDocument/2006/relationships/hyperlink" Target="https://github.com/EaminC/AgentBug-Smith/blob/main/data/issues_80/issue_6050.json" TargetMode="External"/><Relationship Id="rId443" Type="http://schemas.openxmlformats.org/officeDocument/2006/relationships/hyperlink" Target="https://github.com/EaminC/AgentBug-Smith/blob/main/data/issues_50/issue_2587.json" TargetMode="External"/><Relationship Id="rId200" Type="http://schemas.openxmlformats.org/officeDocument/2006/relationships/hyperlink" Target="https://github.com/EaminC/AgentBug-Smith/blob/main/data/issues_70/issue_259.json" TargetMode="External"/><Relationship Id="rId321" Type="http://schemas.openxmlformats.org/officeDocument/2006/relationships/hyperlink" Target="https://github.com/EaminC/AgentBug-Smith/blob/main/data/issues_80/issue_5787.json" TargetMode="External"/><Relationship Id="rId442" Type="http://schemas.openxmlformats.org/officeDocument/2006/relationships/hyperlink" Target="https://github.com/EaminC/AgentBug-Smith/blob/main/data/issues_50/issue_2561.json" TargetMode="External"/><Relationship Id="rId320" Type="http://schemas.openxmlformats.org/officeDocument/2006/relationships/hyperlink" Target="https://github.com/EaminC/AgentBug-Smith/blob/main/data/issues_80/issue_5784.json" TargetMode="External"/><Relationship Id="rId441" Type="http://schemas.openxmlformats.org/officeDocument/2006/relationships/hyperlink" Target="https://github.com/EaminC/AgentBug-Smith/blob/main/data/issues_50/issue_2551.json" TargetMode="External"/><Relationship Id="rId316" Type="http://schemas.openxmlformats.org/officeDocument/2006/relationships/hyperlink" Target="https://github.com/EaminC/AgentBug-Smith/blob/main/data/issues_80/issue_5700.json" TargetMode="External"/><Relationship Id="rId437" Type="http://schemas.openxmlformats.org/officeDocument/2006/relationships/hyperlink" Target="https://github.com/EaminC/AgentBug-Smith/blob/main/data/issues_50/issue_2402.json" TargetMode="External"/><Relationship Id="rId315" Type="http://schemas.openxmlformats.org/officeDocument/2006/relationships/hyperlink" Target="https://github.com/EaminC/AgentBug-Smith/blob/main/data/issues_80/issue_56.json" TargetMode="External"/><Relationship Id="rId436" Type="http://schemas.openxmlformats.org/officeDocument/2006/relationships/hyperlink" Target="https://github.com/EaminC/AgentBug-Smith/blob/main/data/issues_50/issue_240.json" TargetMode="External"/><Relationship Id="rId314" Type="http://schemas.openxmlformats.org/officeDocument/2006/relationships/hyperlink" Target="https://github.com/EaminC/AgentBug-Smith/blob/main/data/issues_80/issue_5557.json" TargetMode="External"/><Relationship Id="rId435" Type="http://schemas.openxmlformats.org/officeDocument/2006/relationships/hyperlink" Target="https://github.com/EaminC/AgentBug-Smith/blob/main/data/issues_50/issue_2330.json" TargetMode="External"/><Relationship Id="rId313" Type="http://schemas.openxmlformats.org/officeDocument/2006/relationships/hyperlink" Target="https://github.com/EaminC/AgentBug-Smith/blob/main/data/issues_80/issue_513.json" TargetMode="External"/><Relationship Id="rId434" Type="http://schemas.openxmlformats.org/officeDocument/2006/relationships/hyperlink" Target="https://github.com/EaminC/AgentBug-Smith/blob/main/data/issues_50/issue_2260.json" TargetMode="External"/><Relationship Id="rId319" Type="http://schemas.openxmlformats.org/officeDocument/2006/relationships/hyperlink" Target="https://github.com/EaminC/AgentBug-Smith/blob/main/data/issues_80/issue_5769.json" TargetMode="External"/><Relationship Id="rId318" Type="http://schemas.openxmlformats.org/officeDocument/2006/relationships/hyperlink" Target="https://github.com/EaminC/AgentBug-Smith/blob/main/data/issues_80/issue_5741.json" TargetMode="External"/><Relationship Id="rId439" Type="http://schemas.openxmlformats.org/officeDocument/2006/relationships/hyperlink" Target="https://github.com/EaminC/AgentBug-Smith/blob/main/data/issues_50/issue_2434.json" TargetMode="External"/><Relationship Id="rId317" Type="http://schemas.openxmlformats.org/officeDocument/2006/relationships/hyperlink" Target="https://github.com/EaminC/AgentBug-Smith/blob/main/data/issues_80/issue_5739.json" TargetMode="External"/><Relationship Id="rId438" Type="http://schemas.openxmlformats.org/officeDocument/2006/relationships/hyperlink" Target="https://github.com/EaminC/AgentBug-Smith/blob/main/data/issues_50/issue_2421.json" TargetMode="External"/><Relationship Id="rId312" Type="http://schemas.openxmlformats.org/officeDocument/2006/relationships/hyperlink" Target="https://github.com/EaminC/AgentBug-Smith/blob/main/data/issues_80/issue_4841.json" TargetMode="External"/><Relationship Id="rId433" Type="http://schemas.openxmlformats.org/officeDocument/2006/relationships/hyperlink" Target="https://github.com/EaminC/AgentBug-Smith/blob/main/data/issues_50/issue_2191.json" TargetMode="External"/><Relationship Id="rId311" Type="http://schemas.openxmlformats.org/officeDocument/2006/relationships/hyperlink" Target="https://github.com/EaminC/AgentBug-Smith/blob/main/data/issues_80/issue_4543.json" TargetMode="External"/><Relationship Id="rId432" Type="http://schemas.openxmlformats.org/officeDocument/2006/relationships/hyperlink" Target="https://github.com/EaminC/AgentBug-Smith/blob/main/data/issues_50/issue_2175.json" TargetMode="External"/><Relationship Id="rId310" Type="http://schemas.openxmlformats.org/officeDocument/2006/relationships/hyperlink" Target="https://github.com/EaminC/AgentBug-Smith/blob/main/data/issues_80/issue_441.json" TargetMode="External"/><Relationship Id="rId431" Type="http://schemas.openxmlformats.org/officeDocument/2006/relationships/hyperlink" Target="https://github.com/EaminC/AgentBug-Smith/blob/main/data/issues_50/issue_2067.json" TargetMode="External"/><Relationship Id="rId430" Type="http://schemas.openxmlformats.org/officeDocument/2006/relationships/hyperlink" Target="https://github.com/EaminC/AgentBug-Smith/blob/main/data/issues_50/issue_194.jso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EaminC/AgentBug-Smith/blob/main/data/issues_80/issue_6050.json" TargetMode="External"/><Relationship Id="rId194" Type="http://schemas.openxmlformats.org/officeDocument/2006/relationships/hyperlink" Target="https://github.com/EaminC/AgentBug-Smith/blob/main/data/issues_80/issue_6409.json" TargetMode="External"/><Relationship Id="rId193" Type="http://schemas.openxmlformats.org/officeDocument/2006/relationships/hyperlink" Target="https://github.com/EaminC/AgentBug-Smith/blob/main/data/issues_80/issue_6302.json" TargetMode="External"/><Relationship Id="rId192" Type="http://schemas.openxmlformats.org/officeDocument/2006/relationships/hyperlink" Target="https://github.com/EaminC/AgentBug-Smith/blob/main/data/issues_80/issue_6212.json" TargetMode="External"/><Relationship Id="rId191" Type="http://schemas.openxmlformats.org/officeDocument/2006/relationships/hyperlink" Target="https://github.com/EaminC/AgentBug-Smith/blob/main/data/issues_80/issue_6072.json" TargetMode="External"/><Relationship Id="rId187" Type="http://schemas.openxmlformats.org/officeDocument/2006/relationships/hyperlink" Target="https://github.com/EaminC/AgentBug-Smith/blob/main/data/issues_80/issue_5769.json" TargetMode="External"/><Relationship Id="rId186" Type="http://schemas.openxmlformats.org/officeDocument/2006/relationships/hyperlink" Target="https://github.com/EaminC/AgentBug-Smith/blob/main/data/issues_80/issue_5741.json" TargetMode="External"/><Relationship Id="rId185" Type="http://schemas.openxmlformats.org/officeDocument/2006/relationships/hyperlink" Target="https://github.com/EaminC/AgentBug-Smith/blob/main/data/issues_80/issue_5739.json" TargetMode="External"/><Relationship Id="rId184" Type="http://schemas.openxmlformats.org/officeDocument/2006/relationships/hyperlink" Target="https://github.com/EaminC/AgentBug-Smith/blob/main/data/issues_80/issue_5700.json" TargetMode="External"/><Relationship Id="rId189" Type="http://schemas.openxmlformats.org/officeDocument/2006/relationships/hyperlink" Target="https://github.com/EaminC/AgentBug-Smith/blob/main/data/issues_80/issue_5787.json" TargetMode="External"/><Relationship Id="rId188" Type="http://schemas.openxmlformats.org/officeDocument/2006/relationships/hyperlink" Target="https://github.com/EaminC/AgentBug-Smith/blob/main/data/issues_80/issue_5784.json" TargetMode="External"/><Relationship Id="rId183" Type="http://schemas.openxmlformats.org/officeDocument/2006/relationships/hyperlink" Target="https://github.com/EaminC/AgentBug-Smith/blob/main/data/issues_80/issue_56.json" TargetMode="External"/><Relationship Id="rId182" Type="http://schemas.openxmlformats.org/officeDocument/2006/relationships/hyperlink" Target="https://github.com/EaminC/AgentBug-Smith/blob/main/data/issues_80/issue_5557.json" TargetMode="External"/><Relationship Id="rId181" Type="http://schemas.openxmlformats.org/officeDocument/2006/relationships/hyperlink" Target="https://github.com/EaminC/AgentBug-Smith/blob/main/data/issues_80/issue_513.json" TargetMode="External"/><Relationship Id="rId180" Type="http://schemas.openxmlformats.org/officeDocument/2006/relationships/hyperlink" Target="https://github.com/EaminC/AgentBug-Smith/blob/main/data/issues_80/issue_4841.json" TargetMode="External"/><Relationship Id="rId176" Type="http://schemas.openxmlformats.org/officeDocument/2006/relationships/hyperlink" Target="https://github.com/EaminC/AgentBug-Smith/blob/main/data/issues_80/issue_4229.json" TargetMode="External"/><Relationship Id="rId297" Type="http://schemas.openxmlformats.org/officeDocument/2006/relationships/hyperlink" Target="https://github.com/EaminC/AgentBug-Smith/blob/main/data/issues_50/issue_1869.json" TargetMode="External"/><Relationship Id="rId175" Type="http://schemas.openxmlformats.org/officeDocument/2006/relationships/hyperlink" Target="https://github.com/EaminC/AgentBug-Smith/blob/main/data/issues_80/issue_411.json" TargetMode="External"/><Relationship Id="rId296" Type="http://schemas.openxmlformats.org/officeDocument/2006/relationships/hyperlink" Target="https://github.com/EaminC/AgentBug-Smith/blob/main/data/issues_50/issue_1703.json" TargetMode="External"/><Relationship Id="rId174" Type="http://schemas.openxmlformats.org/officeDocument/2006/relationships/hyperlink" Target="https://github.com/EaminC/AgentBug-Smith/blob/main/data/issues_80/issue_4109.json" TargetMode="External"/><Relationship Id="rId295" Type="http://schemas.openxmlformats.org/officeDocument/2006/relationships/hyperlink" Target="https://github.com/EaminC/AgentBug-Smith/blob/main/data/issues_50/issue_159.json" TargetMode="External"/><Relationship Id="rId173" Type="http://schemas.openxmlformats.org/officeDocument/2006/relationships/hyperlink" Target="https://github.com/EaminC/AgentBug-Smith/blob/main/data/issues_80/issue_4072.json" TargetMode="External"/><Relationship Id="rId294" Type="http://schemas.openxmlformats.org/officeDocument/2006/relationships/hyperlink" Target="https://github.com/EaminC/AgentBug-Smith/blob/main/data/issues_50/issue_1503.json" TargetMode="External"/><Relationship Id="rId179" Type="http://schemas.openxmlformats.org/officeDocument/2006/relationships/hyperlink" Target="https://github.com/EaminC/AgentBug-Smith/blob/main/data/issues_80/issue_4543.json" TargetMode="External"/><Relationship Id="rId178" Type="http://schemas.openxmlformats.org/officeDocument/2006/relationships/hyperlink" Target="https://github.com/EaminC/AgentBug-Smith/blob/main/data/issues_80/issue_441.json" TargetMode="External"/><Relationship Id="rId299" Type="http://schemas.openxmlformats.org/officeDocument/2006/relationships/hyperlink" Target="https://github.com/EaminC/AgentBug-Smith/blob/main/data/issues_50/issue_2067.json" TargetMode="External"/><Relationship Id="rId177" Type="http://schemas.openxmlformats.org/officeDocument/2006/relationships/hyperlink" Target="https://github.com/EaminC/AgentBug-Smith/blob/main/data/issues_80/issue_429.json" TargetMode="External"/><Relationship Id="rId298" Type="http://schemas.openxmlformats.org/officeDocument/2006/relationships/hyperlink" Target="https://github.com/EaminC/AgentBug-Smith/blob/main/data/issues_50/issue_194.json" TargetMode="External"/><Relationship Id="rId198" Type="http://schemas.openxmlformats.org/officeDocument/2006/relationships/hyperlink" Target="https://github.com/EaminC/AgentBug-Smith/blob/main/data/issues_80/issue_682.json" TargetMode="External"/><Relationship Id="rId197" Type="http://schemas.openxmlformats.org/officeDocument/2006/relationships/hyperlink" Target="https://github.com/EaminC/AgentBug-Smith/blob/main/data/issues_80/issue_66.json" TargetMode="External"/><Relationship Id="rId196" Type="http://schemas.openxmlformats.org/officeDocument/2006/relationships/hyperlink" Target="https://github.com/EaminC/AgentBug-Smith/blob/main/data/issues_80/issue_6585.json" TargetMode="External"/><Relationship Id="rId195" Type="http://schemas.openxmlformats.org/officeDocument/2006/relationships/hyperlink" Target="https://github.com/EaminC/AgentBug-Smith/blob/main/data/issues_80/issue_6465.json" TargetMode="External"/><Relationship Id="rId199" Type="http://schemas.openxmlformats.org/officeDocument/2006/relationships/hyperlink" Target="https://github.com/EaminC/AgentBug-Smith/blob/main/data/issues_80/issue_70.json" TargetMode="External"/><Relationship Id="rId150" Type="http://schemas.openxmlformats.org/officeDocument/2006/relationships/hyperlink" Target="https://github.com/EaminC/AgentBug-Smith/blob/main/data/issues_80/issue_1675.json" TargetMode="External"/><Relationship Id="rId271" Type="http://schemas.openxmlformats.org/officeDocument/2006/relationships/hyperlink" Target="https://github.com/EaminC/AgentBug-Smith/blob/main/data/issues_70/issue_773.json" TargetMode="External"/><Relationship Id="rId270" Type="http://schemas.openxmlformats.org/officeDocument/2006/relationships/hyperlink" Target="https://github.com/EaminC/AgentBug-Smith/blob/main/data/issues_70/issue_749.json" TargetMode="External"/><Relationship Id="rId1" Type="http://schemas.openxmlformats.org/officeDocument/2006/relationships/hyperlink" Target="https://github.com/EaminC/AgentBug-Smith/tree/main/results/all_combined_f2p/issue_3828_20260525T192413Z" TargetMode="External"/><Relationship Id="rId2" Type="http://schemas.openxmlformats.org/officeDocument/2006/relationships/hyperlink" Target="https://github.com/EaminC/AgentBug-Smith/tree/main/results/all_combined_f2p/issue_1297_20260624T043153Z" TargetMode="External"/><Relationship Id="rId3" Type="http://schemas.openxmlformats.org/officeDocument/2006/relationships/hyperlink" Target="https://github.com/EaminC/AgentBug-Smith/tree/main/results/all_combined_f2p/issue_1112_20260623T030619Z" TargetMode="External"/><Relationship Id="rId149" Type="http://schemas.openxmlformats.org/officeDocument/2006/relationships/hyperlink" Target="https://github.com/EaminC/AgentBug-Smith/blob/main/data/issues_80/issue_1583.json" TargetMode="External"/><Relationship Id="rId4" Type="http://schemas.openxmlformats.org/officeDocument/2006/relationships/hyperlink" Target="https://github.com/EaminC/AgentBug-Smith/tree/main/results/all_combined_f2p/issue_71_20260510T083954Z" TargetMode="External"/><Relationship Id="rId148" Type="http://schemas.openxmlformats.org/officeDocument/2006/relationships/hyperlink" Target="https://github.com/EaminC/AgentBug-Smith/blob/main/data/issues_80/issue_1511.json" TargetMode="External"/><Relationship Id="rId269" Type="http://schemas.openxmlformats.org/officeDocument/2006/relationships/hyperlink" Target="https://github.com/EaminC/AgentBug-Smith/blob/main/data/issues_70/issue_697.json" TargetMode="External"/><Relationship Id="rId9" Type="http://schemas.openxmlformats.org/officeDocument/2006/relationships/hyperlink" Target="https://github.com/EaminC/AgentBug-Smith/tree/main/results/all_combined_f2p/issue_70_20260512T041132Z" TargetMode="External"/><Relationship Id="rId143" Type="http://schemas.openxmlformats.org/officeDocument/2006/relationships/hyperlink" Target="https://github.com/EaminC/AgentBug-Smith/blob/main/data/issues_80/issue_1437.json" TargetMode="External"/><Relationship Id="rId264" Type="http://schemas.openxmlformats.org/officeDocument/2006/relationships/hyperlink" Target="https://github.com/EaminC/AgentBug-Smith/blob/main/data/issues_70/issue_650.json" TargetMode="External"/><Relationship Id="rId142" Type="http://schemas.openxmlformats.org/officeDocument/2006/relationships/hyperlink" Target="https://github.com/EaminC/AgentBug-Smith/blob/main/data/issues_80/issue_137.json" TargetMode="External"/><Relationship Id="rId263" Type="http://schemas.openxmlformats.org/officeDocument/2006/relationships/hyperlink" Target="https://github.com/EaminC/AgentBug-Smith/blob/main/data/issues_70/issue_610.json" TargetMode="External"/><Relationship Id="rId141" Type="http://schemas.openxmlformats.org/officeDocument/2006/relationships/hyperlink" Target="https://github.com/EaminC/AgentBug-Smith/blob/main/data/issues_80/issue_1280.json" TargetMode="External"/><Relationship Id="rId262" Type="http://schemas.openxmlformats.org/officeDocument/2006/relationships/hyperlink" Target="https://github.com/EaminC/AgentBug-Smith/blob/main/data/issues_70/issue_596.json" TargetMode="External"/><Relationship Id="rId140" Type="http://schemas.openxmlformats.org/officeDocument/2006/relationships/hyperlink" Target="https://github.com/EaminC/AgentBug-Smith/blob/main/data/issues_80/issue_1277.json" TargetMode="External"/><Relationship Id="rId261" Type="http://schemas.openxmlformats.org/officeDocument/2006/relationships/hyperlink" Target="https://github.com/EaminC/AgentBug-Smith/blob/main/data/issues_70/issue_5950.json" TargetMode="External"/><Relationship Id="rId382" Type="http://schemas.openxmlformats.org/officeDocument/2006/relationships/table" Target="../tables/table3.xml"/><Relationship Id="rId5" Type="http://schemas.openxmlformats.org/officeDocument/2006/relationships/hyperlink" Target="https://github.com/EaminC/AgentBug-Smith/tree/main/results/all_combined_f2p/issue_1765_20260729T112754Z" TargetMode="External"/><Relationship Id="rId147" Type="http://schemas.openxmlformats.org/officeDocument/2006/relationships/hyperlink" Target="https://github.com/EaminC/AgentBug-Smith/blob/main/data/issues_80/issue_149.json" TargetMode="External"/><Relationship Id="rId268" Type="http://schemas.openxmlformats.org/officeDocument/2006/relationships/hyperlink" Target="https://github.com/EaminC/AgentBug-Smith/blob/main/data/issues_70/issue_692.json" TargetMode="External"/><Relationship Id="rId6" Type="http://schemas.openxmlformats.org/officeDocument/2006/relationships/hyperlink" Target="https://github.com/EaminC/AgentBug-Smith/tree/main/results/all_combined_f2p/issue_1714_20260818T071421Z" TargetMode="External"/><Relationship Id="rId146" Type="http://schemas.openxmlformats.org/officeDocument/2006/relationships/hyperlink" Target="https://github.com/EaminC/AgentBug-Smith/blob/main/data/issues_80/issue_1455.json" TargetMode="External"/><Relationship Id="rId267" Type="http://schemas.openxmlformats.org/officeDocument/2006/relationships/hyperlink" Target="https://github.com/EaminC/AgentBug-Smith/blob/main/data/issues_70/issue_687.json" TargetMode="External"/><Relationship Id="rId7" Type="http://schemas.openxmlformats.org/officeDocument/2006/relationships/hyperlink" Target="https://github.com/EaminC/AgentBug-Smith/tree/main/results/all_combined_f2p/issue_1702_20260818T063539Z" TargetMode="External"/><Relationship Id="rId145" Type="http://schemas.openxmlformats.org/officeDocument/2006/relationships/hyperlink" Target="https://github.com/EaminC/AgentBug-Smith/blob/main/data/issues_80/issue_1445.json" TargetMode="External"/><Relationship Id="rId266" Type="http://schemas.openxmlformats.org/officeDocument/2006/relationships/hyperlink" Target="https://github.com/EaminC/AgentBug-Smith/blob/main/data/issues_70/issue_6744.json" TargetMode="External"/><Relationship Id="rId8" Type="http://schemas.openxmlformats.org/officeDocument/2006/relationships/hyperlink" Target="https://github.com/EaminC/AgentBug-Smith/tree/main/results/all_combined_f2p/issue_1439_20260802T002117Z" TargetMode="External"/><Relationship Id="rId144" Type="http://schemas.openxmlformats.org/officeDocument/2006/relationships/hyperlink" Target="https://github.com/EaminC/AgentBug-Smith/blob/main/data/issues_80/issue_1439.json" TargetMode="External"/><Relationship Id="rId265" Type="http://schemas.openxmlformats.org/officeDocument/2006/relationships/hyperlink" Target="https://github.com/EaminC/AgentBug-Smith/blob/main/data/issues_70/issue_665.json" TargetMode="External"/><Relationship Id="rId260" Type="http://schemas.openxmlformats.org/officeDocument/2006/relationships/hyperlink" Target="https://github.com/EaminC/AgentBug-Smith/blob/main/data/issues_70/issue_5781.json" TargetMode="External"/><Relationship Id="rId381" Type="http://schemas.openxmlformats.org/officeDocument/2006/relationships/table" Target="../tables/table2.xml"/><Relationship Id="rId139" Type="http://schemas.openxmlformats.org/officeDocument/2006/relationships/hyperlink" Target="https://github.com/EaminC/AgentBug-Smith/blob/main/data/issues_80/issue_1222.json" TargetMode="External"/><Relationship Id="rId138" Type="http://schemas.openxmlformats.org/officeDocument/2006/relationships/hyperlink" Target="https://github.com/EaminC/AgentBug-Smith/blob/main/data/issues_80/issue_121.json" TargetMode="External"/><Relationship Id="rId259" Type="http://schemas.openxmlformats.org/officeDocument/2006/relationships/hyperlink" Target="https://github.com/EaminC/AgentBug-Smith/blob/main/data/issues_70/issue_5616.json" TargetMode="External"/><Relationship Id="rId137" Type="http://schemas.openxmlformats.org/officeDocument/2006/relationships/hyperlink" Target="https://github.com/EaminC/AgentBug-Smith/blob/main/data/issues_80/issue_1197.json" TargetMode="External"/><Relationship Id="rId258" Type="http://schemas.openxmlformats.org/officeDocument/2006/relationships/hyperlink" Target="https://github.com/EaminC/AgentBug-Smith/blob/main/data/issues_70/issue_5517.json" TargetMode="External"/><Relationship Id="rId132" Type="http://schemas.openxmlformats.org/officeDocument/2006/relationships/hyperlink" Target="https://github.com/EaminC/AgentBug-Smith/tree/main/results/all_combined_f2p/issue_1176_20260815T110931Z" TargetMode="External"/><Relationship Id="rId253" Type="http://schemas.openxmlformats.org/officeDocument/2006/relationships/hyperlink" Target="https://github.com/EaminC/AgentBug-Smith/blob/main/data/issues_70/issue_5338.json" TargetMode="External"/><Relationship Id="rId374" Type="http://schemas.openxmlformats.org/officeDocument/2006/relationships/hyperlink" Target="https://github.com/ValueCell-ai/valuecell" TargetMode="External"/><Relationship Id="rId131" Type="http://schemas.openxmlformats.org/officeDocument/2006/relationships/hyperlink" Target="https://github.com/EaminC/AgentBug-Smith/tree/main/results/all_combined_f2p/issue_5700_20260805T150027Z" TargetMode="External"/><Relationship Id="rId252" Type="http://schemas.openxmlformats.org/officeDocument/2006/relationships/hyperlink" Target="https://github.com/EaminC/AgentBug-Smith/blob/main/data/issues_70/issue_5178.json" TargetMode="External"/><Relationship Id="rId373" Type="http://schemas.openxmlformats.org/officeDocument/2006/relationships/hyperlink" Target="https://github.com/Aider-AI/aider" TargetMode="External"/><Relationship Id="rId130" Type="http://schemas.openxmlformats.org/officeDocument/2006/relationships/hyperlink" Target="https://github.com/EaminC/AgentBug-Smith/tree/main/results/all_combined_f2p/issue_3226_20260822T080137Z" TargetMode="External"/><Relationship Id="rId251" Type="http://schemas.openxmlformats.org/officeDocument/2006/relationships/hyperlink" Target="https://github.com/EaminC/AgentBug-Smith/blob/main/data/issues_70/issue_4947.json" TargetMode="External"/><Relationship Id="rId372" Type="http://schemas.openxmlformats.org/officeDocument/2006/relationships/hyperlink" Target="https://github.com/reworkd/AgentGPT" TargetMode="External"/><Relationship Id="rId250" Type="http://schemas.openxmlformats.org/officeDocument/2006/relationships/hyperlink" Target="https://github.com/EaminC/AgentBug-Smith/blob/main/data/issues_70/issue_442.json" TargetMode="External"/><Relationship Id="rId371" Type="http://schemas.openxmlformats.org/officeDocument/2006/relationships/hyperlink" Target="https://github.com/Canner/WrenAI" TargetMode="External"/><Relationship Id="rId136" Type="http://schemas.openxmlformats.org/officeDocument/2006/relationships/hyperlink" Target="https://github.com/EaminC/AgentBug-Smith/blob/main/data/issues_80/issue_1136.json" TargetMode="External"/><Relationship Id="rId257" Type="http://schemas.openxmlformats.org/officeDocument/2006/relationships/hyperlink" Target="https://github.com/EaminC/AgentBug-Smith/blob/main/data/issues_70/issue_5489.json" TargetMode="External"/><Relationship Id="rId378" Type="http://schemas.openxmlformats.org/officeDocument/2006/relationships/drawing" Target="../drawings/drawing3.xml"/><Relationship Id="rId135" Type="http://schemas.openxmlformats.org/officeDocument/2006/relationships/hyperlink" Target="https://github.com/EaminC/AgentBug-Smith/blob/main/data/issues_80/issue_1129.json" TargetMode="External"/><Relationship Id="rId256" Type="http://schemas.openxmlformats.org/officeDocument/2006/relationships/hyperlink" Target="https://github.com/EaminC/AgentBug-Smith/blob/main/data/issues_70/issue_5452.json" TargetMode="External"/><Relationship Id="rId377" Type="http://schemas.openxmlformats.org/officeDocument/2006/relationships/hyperlink" Target="https://github.com/lobehub/lobehub" TargetMode="External"/><Relationship Id="rId134" Type="http://schemas.openxmlformats.org/officeDocument/2006/relationships/hyperlink" Target="https://github.com/EaminC/AgentBug-Smith/blob/main/data/issues_80/issue_109.json" TargetMode="External"/><Relationship Id="rId255" Type="http://schemas.openxmlformats.org/officeDocument/2006/relationships/hyperlink" Target="https://github.com/EaminC/AgentBug-Smith/blob/main/data/issues_70/issue_536.json" TargetMode="External"/><Relationship Id="rId376" Type="http://schemas.openxmlformats.org/officeDocument/2006/relationships/hyperlink" Target="https://github.com/OpenInterpreter/open-interpreter" TargetMode="External"/><Relationship Id="rId133" Type="http://schemas.openxmlformats.org/officeDocument/2006/relationships/hyperlink" Target="https://github.com/EaminC/AgentBug-Smith/blob/main/data/issues_80/issue_1037.json" TargetMode="External"/><Relationship Id="rId254" Type="http://schemas.openxmlformats.org/officeDocument/2006/relationships/hyperlink" Target="https://github.com/EaminC/AgentBug-Smith/blob/main/data/issues_70/issue_5343.json" TargetMode="External"/><Relationship Id="rId375" Type="http://schemas.openxmlformats.org/officeDocument/2006/relationships/hyperlink" Target="https://github.com/AntonOsika/gpt-engineer" TargetMode="External"/><Relationship Id="rId172" Type="http://schemas.openxmlformats.org/officeDocument/2006/relationships/hyperlink" Target="https://github.com/EaminC/AgentBug-Smith/blob/main/data/issues_80/issue_40.json" TargetMode="External"/><Relationship Id="rId293" Type="http://schemas.openxmlformats.org/officeDocument/2006/relationships/hyperlink" Target="https://github.com/EaminC/AgentBug-Smith/blob/main/data/issues_50/issue_1490.json" TargetMode="External"/><Relationship Id="rId171" Type="http://schemas.openxmlformats.org/officeDocument/2006/relationships/hyperlink" Target="https://github.com/EaminC/AgentBug-Smith/blob/main/data/issues_80/issue_3988.json" TargetMode="External"/><Relationship Id="rId292" Type="http://schemas.openxmlformats.org/officeDocument/2006/relationships/hyperlink" Target="https://github.com/EaminC/AgentBug-Smith/blob/main/data/issues_50/issue_1476.json" TargetMode="External"/><Relationship Id="rId170" Type="http://schemas.openxmlformats.org/officeDocument/2006/relationships/hyperlink" Target="https://github.com/EaminC/AgentBug-Smith/blob/main/data/issues_80/issue_3979.json" TargetMode="External"/><Relationship Id="rId291" Type="http://schemas.openxmlformats.org/officeDocument/2006/relationships/hyperlink" Target="https://github.com/EaminC/AgentBug-Smith/blob/main/data/issues_50/issue_1391.json" TargetMode="External"/><Relationship Id="rId290" Type="http://schemas.openxmlformats.org/officeDocument/2006/relationships/hyperlink" Target="https://github.com/EaminC/AgentBug-Smith/blob/main/data/issues_50/issue_1381.json" TargetMode="External"/><Relationship Id="rId165" Type="http://schemas.openxmlformats.org/officeDocument/2006/relationships/hyperlink" Target="https://github.com/EaminC/AgentBug-Smith/blob/main/data/issues_80/issue_313.json" TargetMode="External"/><Relationship Id="rId286" Type="http://schemas.openxmlformats.org/officeDocument/2006/relationships/hyperlink" Target="https://github.com/EaminC/AgentBug-Smith/blob/main/data/issues_50/issue_1160.json" TargetMode="External"/><Relationship Id="rId164" Type="http://schemas.openxmlformats.org/officeDocument/2006/relationships/hyperlink" Target="https://github.com/EaminC/AgentBug-Smith/blob/main/data/issues_80/issue_29.json" TargetMode="External"/><Relationship Id="rId285" Type="http://schemas.openxmlformats.org/officeDocument/2006/relationships/hyperlink" Target="https://github.com/EaminC/AgentBug-Smith/blob/main/data/issues_50/issue_1153.json" TargetMode="External"/><Relationship Id="rId163" Type="http://schemas.openxmlformats.org/officeDocument/2006/relationships/hyperlink" Target="https://github.com/EaminC/AgentBug-Smith/blob/main/data/issues_80/issue_288.json" TargetMode="External"/><Relationship Id="rId284" Type="http://schemas.openxmlformats.org/officeDocument/2006/relationships/hyperlink" Target="https://github.com/EaminC/AgentBug-Smith/blob/main/data/issues_50/issue_1110.json" TargetMode="External"/><Relationship Id="rId162" Type="http://schemas.openxmlformats.org/officeDocument/2006/relationships/hyperlink" Target="https://github.com/EaminC/AgentBug-Smith/blob/main/data/issues_80/issue_273.json" TargetMode="External"/><Relationship Id="rId283" Type="http://schemas.openxmlformats.org/officeDocument/2006/relationships/hyperlink" Target="https://github.com/EaminC/AgentBug-Smith/blob/main/data/issues_50/issue_1058.json" TargetMode="External"/><Relationship Id="rId169" Type="http://schemas.openxmlformats.org/officeDocument/2006/relationships/hyperlink" Target="https://github.com/EaminC/AgentBug-Smith/blob/main/data/issues_80/issue_388.json" TargetMode="External"/><Relationship Id="rId168" Type="http://schemas.openxmlformats.org/officeDocument/2006/relationships/hyperlink" Target="https://github.com/EaminC/AgentBug-Smith/blob/main/data/issues_80/issue_33_MLE.json" TargetMode="External"/><Relationship Id="rId289" Type="http://schemas.openxmlformats.org/officeDocument/2006/relationships/hyperlink" Target="https://github.com/EaminC/AgentBug-Smith/blob/main/data/issues_50/issue_1351.json" TargetMode="External"/><Relationship Id="rId167" Type="http://schemas.openxmlformats.org/officeDocument/2006/relationships/hyperlink" Target="https://github.com/EaminC/AgentBug-Smith/blob/main/data/issues_80/issue_33.json" TargetMode="External"/><Relationship Id="rId288" Type="http://schemas.openxmlformats.org/officeDocument/2006/relationships/hyperlink" Target="https://github.com/EaminC/AgentBug-Smith/blob/main/data/issues_50/issue_1336.json" TargetMode="External"/><Relationship Id="rId166" Type="http://schemas.openxmlformats.org/officeDocument/2006/relationships/hyperlink" Target="https://github.com/EaminC/AgentBug-Smith/blob/main/data/issues_80/issue_325.json" TargetMode="External"/><Relationship Id="rId287" Type="http://schemas.openxmlformats.org/officeDocument/2006/relationships/hyperlink" Target="https://github.com/EaminC/AgentBug-Smith/blob/main/data/issues_50/issue_1297.json" TargetMode="External"/><Relationship Id="rId161" Type="http://schemas.openxmlformats.org/officeDocument/2006/relationships/hyperlink" Target="https://github.com/EaminC/AgentBug-Smith/blob/main/data/issues_80/issue_259.json" TargetMode="External"/><Relationship Id="rId282" Type="http://schemas.openxmlformats.org/officeDocument/2006/relationships/hyperlink" Target="https://github.com/EaminC/AgentBug-Smith/blob/main/data/issues_70/issue_979.json" TargetMode="External"/><Relationship Id="rId160" Type="http://schemas.openxmlformats.org/officeDocument/2006/relationships/hyperlink" Target="https://github.com/EaminC/AgentBug-Smith/blob/main/data/issues_80/issue_256.json" TargetMode="External"/><Relationship Id="rId281" Type="http://schemas.openxmlformats.org/officeDocument/2006/relationships/hyperlink" Target="https://github.com/EaminC/AgentBug-Smith/blob/main/data/issues_70/issue_962.json" TargetMode="External"/><Relationship Id="rId280" Type="http://schemas.openxmlformats.org/officeDocument/2006/relationships/hyperlink" Target="https://github.com/EaminC/AgentBug-Smith/blob/main/data/issues_70/issue_959.json" TargetMode="External"/><Relationship Id="rId159" Type="http://schemas.openxmlformats.org/officeDocument/2006/relationships/hyperlink" Target="https://github.com/EaminC/AgentBug-Smith/blob/main/data/issues_80/issue_255.json" TargetMode="External"/><Relationship Id="rId154" Type="http://schemas.openxmlformats.org/officeDocument/2006/relationships/hyperlink" Target="https://github.com/EaminC/AgentBug-Smith/blob/main/data/issues_80/issue_1851.json" TargetMode="External"/><Relationship Id="rId275" Type="http://schemas.openxmlformats.org/officeDocument/2006/relationships/hyperlink" Target="https://github.com/EaminC/AgentBug-Smith/blob/main/data/issues_70/issue_869.json" TargetMode="External"/><Relationship Id="rId153" Type="http://schemas.openxmlformats.org/officeDocument/2006/relationships/hyperlink" Target="https://github.com/EaminC/AgentBug-Smith/blob/main/data/issues_80/issue_177.json" TargetMode="External"/><Relationship Id="rId274" Type="http://schemas.openxmlformats.org/officeDocument/2006/relationships/hyperlink" Target="https://github.com/EaminC/AgentBug-Smith/blob/main/data/issues_70/issue_8666.json" TargetMode="External"/><Relationship Id="rId152" Type="http://schemas.openxmlformats.org/officeDocument/2006/relationships/hyperlink" Target="https://github.com/EaminC/AgentBug-Smith/blob/main/data/issues_80/issue_174.json" TargetMode="External"/><Relationship Id="rId273" Type="http://schemas.openxmlformats.org/officeDocument/2006/relationships/hyperlink" Target="https://github.com/EaminC/AgentBug-Smith/blob/main/data/issues_70/issue_8226.json" TargetMode="External"/><Relationship Id="rId151" Type="http://schemas.openxmlformats.org/officeDocument/2006/relationships/hyperlink" Target="https://github.com/EaminC/AgentBug-Smith/blob/main/data/issues_80/issue_169.json" TargetMode="External"/><Relationship Id="rId272" Type="http://schemas.openxmlformats.org/officeDocument/2006/relationships/hyperlink" Target="https://github.com/EaminC/AgentBug-Smith/blob/main/data/issues_70/issue_80.json" TargetMode="External"/><Relationship Id="rId158" Type="http://schemas.openxmlformats.org/officeDocument/2006/relationships/hyperlink" Target="https://github.com/EaminC/AgentBug-Smith/blob/main/data/issues_80/issue_2390.json" TargetMode="External"/><Relationship Id="rId279" Type="http://schemas.openxmlformats.org/officeDocument/2006/relationships/hyperlink" Target="https://github.com/EaminC/AgentBug-Smith/blob/main/data/issues_70/issue_9409.json" TargetMode="External"/><Relationship Id="rId157" Type="http://schemas.openxmlformats.org/officeDocument/2006/relationships/hyperlink" Target="https://github.com/EaminC/AgentBug-Smith/blob/main/data/issues_80/issue_209.json" TargetMode="External"/><Relationship Id="rId278" Type="http://schemas.openxmlformats.org/officeDocument/2006/relationships/hyperlink" Target="https://github.com/EaminC/AgentBug-Smith/blob/main/data/issues_70/issue_905.json" TargetMode="External"/><Relationship Id="rId156" Type="http://schemas.openxmlformats.org/officeDocument/2006/relationships/hyperlink" Target="https://github.com/EaminC/AgentBug-Smith/blob/main/data/issues_80/issue_1887.json" TargetMode="External"/><Relationship Id="rId277" Type="http://schemas.openxmlformats.org/officeDocument/2006/relationships/hyperlink" Target="https://github.com/EaminC/AgentBug-Smith/blob/main/data/issues_70/issue_899.json" TargetMode="External"/><Relationship Id="rId155" Type="http://schemas.openxmlformats.org/officeDocument/2006/relationships/hyperlink" Target="https://github.com/EaminC/AgentBug-Smith/blob/main/data/issues_80/issue_1886.json" TargetMode="External"/><Relationship Id="rId276" Type="http://schemas.openxmlformats.org/officeDocument/2006/relationships/hyperlink" Target="https://github.com/EaminC/AgentBug-Smith/blob/main/data/issues_70/issue_875.json" TargetMode="External"/><Relationship Id="rId40" Type="http://schemas.openxmlformats.org/officeDocument/2006/relationships/hyperlink" Target="https://github.com/EaminC/AgentBug-Smith/tree/main/results/all_combined_f2p/issue_1924_20260810T103452Z" TargetMode="External"/><Relationship Id="rId42" Type="http://schemas.openxmlformats.org/officeDocument/2006/relationships/hyperlink" Target="https://github.com/EaminC/AgentBug-Smith/tree/main/results/all_combined_f2p/issue_596_20260706T040852Z" TargetMode="External"/><Relationship Id="rId41" Type="http://schemas.openxmlformats.org/officeDocument/2006/relationships/hyperlink" Target="https://github.com/EaminC/AgentBug-Smith/tree/main/results/all_combined_f2p/issue_831_20260814T161354Z" TargetMode="External"/><Relationship Id="rId44" Type="http://schemas.openxmlformats.org/officeDocument/2006/relationships/hyperlink" Target="https://github.com/EaminC/AgentBug-Smith/tree/main/results/all_combined_f2p/issue_1272_20260816T174203Z" TargetMode="External"/><Relationship Id="rId43" Type="http://schemas.openxmlformats.org/officeDocument/2006/relationships/hyperlink" Target="https://github.com/EaminC/AgentBug-Smith/tree/main/results/all_combined_f2p/issue_209_20260619T235044Z" TargetMode="External"/><Relationship Id="rId46" Type="http://schemas.openxmlformats.org/officeDocument/2006/relationships/hyperlink" Target="https://github.com/EaminC/AgentBug-Smith/tree/main/results/all_combined_f2p/issue_1965_20260729T165449Z" TargetMode="External"/><Relationship Id="rId45" Type="http://schemas.openxmlformats.org/officeDocument/2006/relationships/hyperlink" Target="https://github.com/EaminC/AgentBug-Smith/tree/main/results/all_combined_f2p/issue_2007_20260819T163823Z" TargetMode="External"/><Relationship Id="rId48" Type="http://schemas.openxmlformats.org/officeDocument/2006/relationships/hyperlink" Target="https://github.com/EaminC/AgentBug-Smith/tree/main/results/all_combined_f2p/issue_1158_20260814T222448Z" TargetMode="External"/><Relationship Id="rId47" Type="http://schemas.openxmlformats.org/officeDocument/2006/relationships/hyperlink" Target="https://github.com/EaminC/AgentBug-Smith/tree/main/results/all_combined_f2p/issue_1732_20260818T071638Z" TargetMode="External"/><Relationship Id="rId49" Type="http://schemas.openxmlformats.org/officeDocument/2006/relationships/hyperlink" Target="https://github.com/EaminC/AgentBug-Smith/tree/main/results/all_combined_f2p/issue_2296_20260823T174322Z" TargetMode="External"/><Relationship Id="rId31" Type="http://schemas.openxmlformats.org/officeDocument/2006/relationships/hyperlink" Target="https://github.com/EaminC/AgentBug-Smith/tree/main/results/all_combined_f2p/issue_3388_20260822T080336Z" TargetMode="External"/><Relationship Id="rId30" Type="http://schemas.openxmlformats.org/officeDocument/2006/relationships/hyperlink" Target="https://github.com/EaminC/AgentBug-Smith/tree/main/results/all_combined_f2p/issue_2235_20260820T162557Z" TargetMode="External"/><Relationship Id="rId33" Type="http://schemas.openxmlformats.org/officeDocument/2006/relationships/hyperlink" Target="https://github.com/EaminC/AgentBug-Smith/tree/main/results/all_combined_f2p/issue_1020_20260814T120504Z" TargetMode="External"/><Relationship Id="rId32" Type="http://schemas.openxmlformats.org/officeDocument/2006/relationships/hyperlink" Target="https://github.com/EaminC/AgentBug-Smith/tree/main/results/all_combined_f2p/issue_1792_20260730T040633Z" TargetMode="External"/><Relationship Id="rId35" Type="http://schemas.openxmlformats.org/officeDocument/2006/relationships/hyperlink" Target="https://github.com/EaminC/AgentBug-Smith/tree/main/results/all_combined_f2p/issue_667_20260814T105805Z" TargetMode="External"/><Relationship Id="rId34" Type="http://schemas.openxmlformats.org/officeDocument/2006/relationships/hyperlink" Target="https://github.com/EaminC/AgentBug-Smith/tree/main/results/all_combined_f2p/issue_1545_20260817T110601Z" TargetMode="External"/><Relationship Id="rId37" Type="http://schemas.openxmlformats.org/officeDocument/2006/relationships/hyperlink" Target="https://github.com/EaminC/AgentBug-Smith/tree/main/results/all_combined_f2p/issue_4109_20260618T125117Z" TargetMode="External"/><Relationship Id="rId36" Type="http://schemas.openxmlformats.org/officeDocument/2006/relationships/hyperlink" Target="https://github.com/EaminC/AgentBug-Smith/tree/main/results/all_combined_f2p/issue_194_20260623T191609Z" TargetMode="External"/><Relationship Id="rId39" Type="http://schemas.openxmlformats.org/officeDocument/2006/relationships/hyperlink" Target="https://github.com/EaminC/AgentBug-Smith/tree/main/results/all_combined_f2p/issue_590_20260814T081942Z" TargetMode="External"/><Relationship Id="rId38" Type="http://schemas.openxmlformats.org/officeDocument/2006/relationships/hyperlink" Target="https://github.com/EaminC/AgentBug-Smith/tree/main/results/all_combined_f2p/issue_1538_20260817T110225Z" TargetMode="External"/><Relationship Id="rId20" Type="http://schemas.openxmlformats.org/officeDocument/2006/relationships/hyperlink" Target="https://github.com/EaminC/AgentBug-Smith/tree/main/results/all_combined_f2p/issue_1704_20260730T020559Z" TargetMode="External"/><Relationship Id="rId22" Type="http://schemas.openxmlformats.org/officeDocument/2006/relationships/hyperlink" Target="https://github.com/EaminC/AgentBug-Smith/tree/main/results/all_combined_f2p/issue_3425_20260824T015929Z" TargetMode="External"/><Relationship Id="rId21" Type="http://schemas.openxmlformats.org/officeDocument/2006/relationships/hyperlink" Target="https://github.com/EaminC/AgentBug-Smith/tree/main/results/all_combined_f2p/issue_2587_20260719T094237Z" TargetMode="External"/><Relationship Id="rId24" Type="http://schemas.openxmlformats.org/officeDocument/2006/relationships/hyperlink" Target="https://github.com/EaminC/AgentBug-Smith/tree/main/results/all_combined_f2p/issue_3112_20260804T212932Z" TargetMode="External"/><Relationship Id="rId23" Type="http://schemas.openxmlformats.org/officeDocument/2006/relationships/hyperlink" Target="https://github.com/EaminC/AgentBug-Smith/tree/main/results/all_combined_f2p/issue_974_20260511T001744Z" TargetMode="External"/><Relationship Id="rId26" Type="http://schemas.openxmlformats.org/officeDocument/2006/relationships/hyperlink" Target="https://github.com/EaminC/AgentBug-Smith/tree/main/results/all_combined_f2p/issue_3938_20260807T144335Z" TargetMode="External"/><Relationship Id="rId25" Type="http://schemas.openxmlformats.org/officeDocument/2006/relationships/hyperlink" Target="https://github.com/EaminC/AgentBug-Smith/tree/main/results/all_combined_f2p/issue_1686_20260818T052926Z" TargetMode="External"/><Relationship Id="rId28" Type="http://schemas.openxmlformats.org/officeDocument/2006/relationships/hyperlink" Target="https://github.com/EaminC/AgentBug-Smith/tree/main/results/all_combined_f2p/issue_2177_20260810T100457Z" TargetMode="External"/><Relationship Id="rId27" Type="http://schemas.openxmlformats.org/officeDocument/2006/relationships/hyperlink" Target="https://github.com/EaminC/AgentBug-Smith/tree/main/results/all_combined_f2p/issue_83_20260618T195818Z" TargetMode="External"/><Relationship Id="rId29" Type="http://schemas.openxmlformats.org/officeDocument/2006/relationships/hyperlink" Target="https://github.com/EaminC/AgentBug-Smith/tree/main/results/all_combined_f2p/issue_1702_20260729T084553Z" TargetMode="External"/><Relationship Id="rId11" Type="http://schemas.openxmlformats.org/officeDocument/2006/relationships/hyperlink" Target="https://github.com/EaminC/AgentBug-Smith/tree/main/results/all_combined_f2p/issue_529_20260813T191356Z" TargetMode="External"/><Relationship Id="rId10" Type="http://schemas.openxmlformats.org/officeDocument/2006/relationships/hyperlink" Target="https://github.com/EaminC/AgentBug-Smith/tree/main/results/all_combined_f2p/issue_1280_20260717T161006Z" TargetMode="External"/><Relationship Id="rId13" Type="http://schemas.openxmlformats.org/officeDocument/2006/relationships/hyperlink" Target="https://github.com/EaminC/AgentBug-Smith/tree/main/results/all_combined_f2p/issue_1222_20260617T122512Z" TargetMode="External"/><Relationship Id="rId12" Type="http://schemas.openxmlformats.org/officeDocument/2006/relationships/hyperlink" Target="https://github.com/EaminC/AgentBug-Smith/tree/main/results/all_combined_f2p/issue_2910_20260826T221655Z" TargetMode="External"/><Relationship Id="rId15" Type="http://schemas.openxmlformats.org/officeDocument/2006/relationships/hyperlink" Target="https://github.com/EaminC/AgentBug-Smith/tree/main/results/all_combined_f2p/issue_2179_20260811T161844Z" TargetMode="External"/><Relationship Id="rId14" Type="http://schemas.openxmlformats.org/officeDocument/2006/relationships/hyperlink" Target="https://github.com/EaminC/AgentBug-Smith/tree/main/results/all_combined_f2p/issue_3391_20260523T120852Z" TargetMode="External"/><Relationship Id="rId17" Type="http://schemas.openxmlformats.org/officeDocument/2006/relationships/hyperlink" Target="https://github.com/EaminC/AgentBug-Smith/tree/main/results/all_combined_f2p/issue_1115_20260707T180736Z" TargetMode="External"/><Relationship Id="rId16" Type="http://schemas.openxmlformats.org/officeDocument/2006/relationships/hyperlink" Target="https://github.com/EaminC/AgentBug-Smith/tree/main/results/all_combined_f2p/issue_1131_20260814T215507Z" TargetMode="External"/><Relationship Id="rId19" Type="http://schemas.openxmlformats.org/officeDocument/2006/relationships/hyperlink" Target="https://github.com/EaminC/AgentBug-Smith/tree/main/results/all_combined_f2p/issue_169_20260511T181727Z" TargetMode="External"/><Relationship Id="rId18" Type="http://schemas.openxmlformats.org/officeDocument/2006/relationships/hyperlink" Target="https://github.com/EaminC/AgentBug-Smith/tree/main/results/all_combined_f2p/issue_1260_20260816T160950Z" TargetMode="External"/><Relationship Id="rId84" Type="http://schemas.openxmlformats.org/officeDocument/2006/relationships/hyperlink" Target="https://github.com/EaminC/AgentBug-Smith/tree/main/results/all_combined_f2p/issue_337_20260813T113844Z" TargetMode="External"/><Relationship Id="rId83" Type="http://schemas.openxmlformats.org/officeDocument/2006/relationships/hyperlink" Target="https://github.com/EaminC/AgentBug-Smith/tree/main/results/all_combined_f2p/issue_2652_20260823T183858Z" TargetMode="External"/><Relationship Id="rId86" Type="http://schemas.openxmlformats.org/officeDocument/2006/relationships/hyperlink" Target="https://github.com/EaminC/AgentBug-Smith/tree/main/results/all_combined_f2p/issue_411_20260510T154443Z" TargetMode="External"/><Relationship Id="rId85" Type="http://schemas.openxmlformats.org/officeDocument/2006/relationships/hyperlink" Target="https://github.com/EaminC/AgentBug-Smith/tree/main/results/all_combined_f2p/issue_2899_20260524T021939Z" TargetMode="External"/><Relationship Id="rId88" Type="http://schemas.openxmlformats.org/officeDocument/2006/relationships/hyperlink" Target="https://github.com/EaminC/AgentBug-Smith/tree/main/results/all_combined_f2p/issue_1432_20260817T045516Z" TargetMode="External"/><Relationship Id="rId87" Type="http://schemas.openxmlformats.org/officeDocument/2006/relationships/hyperlink" Target="https://github.com/EaminC/AgentBug-Smith/tree/main/results/all_combined_f2p/issue_166_20260703T205716Z" TargetMode="External"/><Relationship Id="rId89" Type="http://schemas.openxmlformats.org/officeDocument/2006/relationships/hyperlink" Target="https://github.com/EaminC/AgentBug-Smith/tree/main/results/all_combined_f2p/issue_237_20260729T081457Z" TargetMode="External"/><Relationship Id="rId80" Type="http://schemas.openxmlformats.org/officeDocument/2006/relationships/hyperlink" Target="https://github.com/EaminC/AgentBug-Smith/tree/main/results/all_combined_f2p/issue_1885_20260730T043836Z" TargetMode="External"/><Relationship Id="rId82" Type="http://schemas.openxmlformats.org/officeDocument/2006/relationships/hyperlink" Target="https://github.com/EaminC/AgentBug-Smith/tree/main/results/all_combined_f2p/issue_2561_20260628T160144Z" TargetMode="External"/><Relationship Id="rId81" Type="http://schemas.openxmlformats.org/officeDocument/2006/relationships/hyperlink" Target="https://github.com/EaminC/AgentBug-Smith/tree/main/results/all_combined_f2p/issue_1221_20260816T090307Z" TargetMode="External"/><Relationship Id="rId73" Type="http://schemas.openxmlformats.org/officeDocument/2006/relationships/hyperlink" Target="https://github.com/EaminC/AgentBug-Smith/tree/main/results/all_combined_f2p/issue_1745_20260808T133207Z" TargetMode="External"/><Relationship Id="rId72" Type="http://schemas.openxmlformats.org/officeDocument/2006/relationships/hyperlink" Target="https://github.com/EaminC/AgentBug-Smith/tree/main/results/all_combined_f2p/issue_1689_20260818T055717Z" TargetMode="External"/><Relationship Id="rId75" Type="http://schemas.openxmlformats.org/officeDocument/2006/relationships/hyperlink" Target="https://github.com/EaminC/AgentBug-Smith/tree/main/results/all_combined_f2p/issue_2330_20260628T093544Z" TargetMode="External"/><Relationship Id="rId74" Type="http://schemas.openxmlformats.org/officeDocument/2006/relationships/hyperlink" Target="https://github.com/EaminC/AgentBug-Smith/tree/main/results/all_combined_f2p/issue_196_20260629T055224Z" TargetMode="External"/><Relationship Id="rId77" Type="http://schemas.openxmlformats.org/officeDocument/2006/relationships/hyperlink" Target="https://github.com/EaminC/AgentBug-Smith/tree/main/results/all_combined_f2p/issue_1890_20260810T110306Z" TargetMode="External"/><Relationship Id="rId76" Type="http://schemas.openxmlformats.org/officeDocument/2006/relationships/hyperlink" Target="https://github.com/EaminC/AgentBug-Smith/tree/main/results/all_combined_f2p/issue_388_20260616T133519Z" TargetMode="External"/><Relationship Id="rId79" Type="http://schemas.openxmlformats.org/officeDocument/2006/relationships/hyperlink" Target="https://github.com/EaminC/AgentBug-Smith/tree/main/results/all_combined_f2p/issue_1820_20260818T173819Z" TargetMode="External"/><Relationship Id="rId78" Type="http://schemas.openxmlformats.org/officeDocument/2006/relationships/hyperlink" Target="https://github.com/EaminC/AgentBug-Smith/tree/main/results/all_combined_f2p/issue_1136_20260511T024303Z" TargetMode="External"/><Relationship Id="rId71" Type="http://schemas.openxmlformats.org/officeDocument/2006/relationships/hyperlink" Target="https://github.com/EaminC/AgentBug-Smith/tree/main/results/all_combined_f2p/issue_2000_20260808T192026Z" TargetMode="External"/><Relationship Id="rId70" Type="http://schemas.openxmlformats.org/officeDocument/2006/relationships/hyperlink" Target="https://github.com/EaminC/AgentBug-Smith/tree/main/results/all_combined_f2p/issue_2089_20260823T001916Z" TargetMode="External"/><Relationship Id="rId62" Type="http://schemas.openxmlformats.org/officeDocument/2006/relationships/hyperlink" Target="https://github.com/EaminC/AgentBug-Smith/tree/main/results/all_combined_f2p/issue_322_20260731T162619Z" TargetMode="External"/><Relationship Id="rId61" Type="http://schemas.openxmlformats.org/officeDocument/2006/relationships/hyperlink" Target="https://github.com/EaminC/AgentBug-Smith/tree/main/results/all_combined_f2p/issue_1810_20260818T170408Z" TargetMode="External"/><Relationship Id="rId64" Type="http://schemas.openxmlformats.org/officeDocument/2006/relationships/hyperlink" Target="https://github.com/EaminC/AgentBug-Smith/tree/main/results/all_combined_f2p/issue_1277_20260511T034601Z" TargetMode="External"/><Relationship Id="rId63" Type="http://schemas.openxmlformats.org/officeDocument/2006/relationships/hyperlink" Target="https://github.com/EaminC/AgentBug-Smith/tree/main/results/all_combined_f2p/issue_579_20260814T054708Z" TargetMode="External"/><Relationship Id="rId66" Type="http://schemas.openxmlformats.org/officeDocument/2006/relationships/hyperlink" Target="https://github.com/EaminC/AgentBug-Smith/tree/main/results/all_combined_f2p/issue_9_20260522T230911Z" TargetMode="External"/><Relationship Id="rId65" Type="http://schemas.openxmlformats.org/officeDocument/2006/relationships/hyperlink" Target="https://github.com/EaminC/AgentBug-Smith/tree/main/results/all_combined_f2p/issue_350_20260813T145604Z" TargetMode="External"/><Relationship Id="rId68" Type="http://schemas.openxmlformats.org/officeDocument/2006/relationships/hyperlink" Target="https://github.com/EaminC/AgentBug-Smith/tree/main/results/all_combined_f2p/issue_2055_20260730T044249Z" TargetMode="External"/><Relationship Id="rId67" Type="http://schemas.openxmlformats.org/officeDocument/2006/relationships/hyperlink" Target="https://github.com/EaminC/AgentBug-Smith/tree/main/results/all_combined_f2p/issue_2276_20260803T045610Z" TargetMode="External"/><Relationship Id="rId60" Type="http://schemas.openxmlformats.org/officeDocument/2006/relationships/hyperlink" Target="https://github.com/EaminC/AgentBug-Smith/tree/main/results/all_combined_f2p/issue_1703_20260627T133832Z" TargetMode="External"/><Relationship Id="rId69" Type="http://schemas.openxmlformats.org/officeDocument/2006/relationships/hyperlink" Target="https://github.com/EaminC/AgentBug-Smith/tree/main/results/all_combined_f2p/issue_1551_20260817T114349Z" TargetMode="External"/><Relationship Id="rId51" Type="http://schemas.openxmlformats.org/officeDocument/2006/relationships/hyperlink" Target="https://github.com/EaminC/AgentBug-Smith/tree/main/results/all_combined_f2p/issue_1351_20260624T075019Z" TargetMode="External"/><Relationship Id="rId50" Type="http://schemas.openxmlformats.org/officeDocument/2006/relationships/hyperlink" Target="https://github.com/EaminC/AgentBug-Smith/tree/main/results/all_combined_f2p/issue_2789_20260804T104755Z" TargetMode="External"/><Relationship Id="rId53" Type="http://schemas.openxmlformats.org/officeDocument/2006/relationships/hyperlink" Target="https://github.com/EaminC/AgentBug-Smith/tree/main/results/all_combined_f2p/issue_121_20260614T144239Z" TargetMode="External"/><Relationship Id="rId52" Type="http://schemas.openxmlformats.org/officeDocument/2006/relationships/hyperlink" Target="https://github.com/EaminC/AgentBug-Smith/tree/main/results/all_combined_f2p/issue_2090_20260820T062310Z" TargetMode="External"/><Relationship Id="rId55" Type="http://schemas.openxmlformats.org/officeDocument/2006/relationships/hyperlink" Target="https://github.com/EaminC/AgentBug-Smith/tree/main/results/all_combined_f2p/issue_1813_20260818T170656Z" TargetMode="External"/><Relationship Id="rId54" Type="http://schemas.openxmlformats.org/officeDocument/2006/relationships/hyperlink" Target="https://github.com/EaminC/AgentBug-Smith/tree/main/results/all_combined_f2p/issue_298_20260622T123423Z" TargetMode="External"/><Relationship Id="rId57" Type="http://schemas.openxmlformats.org/officeDocument/2006/relationships/hyperlink" Target="https://github.com/EaminC/AgentBug-Smith/tree/main/results/all_combined_f2p/issue_1675_20260617T165705Z" TargetMode="External"/><Relationship Id="rId56" Type="http://schemas.openxmlformats.org/officeDocument/2006/relationships/hyperlink" Target="https://github.com/EaminC/AgentBug-Smith/tree/main/results/all_combined_f2p/issue_2052_20260729T231408Z" TargetMode="External"/><Relationship Id="rId59" Type="http://schemas.openxmlformats.org/officeDocument/2006/relationships/hyperlink" Target="https://github.com/EaminC/AgentBug-Smith/tree/main/results/all_combined_f2p/issue_33_MLE_20260614T100655Z" TargetMode="External"/><Relationship Id="rId58" Type="http://schemas.openxmlformats.org/officeDocument/2006/relationships/hyperlink" Target="https://github.com/EaminC/AgentBug-Smith/tree/main/results/all_combined_f2p/issue_1197_20260815T160749Z" TargetMode="External"/><Relationship Id="rId107" Type="http://schemas.openxmlformats.org/officeDocument/2006/relationships/hyperlink" Target="https://github.com/EaminC/AgentBug-Smith/tree/main/results/all_combined_f2p/issue_2130_20260823T112024Z" TargetMode="External"/><Relationship Id="rId228" Type="http://schemas.openxmlformats.org/officeDocument/2006/relationships/hyperlink" Target="https://github.com/EaminC/AgentBug-Smith/blob/main/data/issues_70/issue_211.json" TargetMode="External"/><Relationship Id="rId349" Type="http://schemas.openxmlformats.org/officeDocument/2006/relationships/hyperlink" Target="https://github.com/EaminC/AgentBug-Smith/blob/main/data/issues_25/issue_2985.json" TargetMode="External"/><Relationship Id="rId106" Type="http://schemas.openxmlformats.org/officeDocument/2006/relationships/hyperlink" Target="https://github.com/EaminC/AgentBug-Smith/tree/main/results/all_combined_f2p/issue_3493_20260822T091738Z" TargetMode="External"/><Relationship Id="rId227" Type="http://schemas.openxmlformats.org/officeDocument/2006/relationships/hyperlink" Target="https://github.com/EaminC/AgentBug-Smith/blob/main/data/issues_70/issue_184.json" TargetMode="External"/><Relationship Id="rId348" Type="http://schemas.openxmlformats.org/officeDocument/2006/relationships/hyperlink" Target="https://github.com/EaminC/AgentBug-Smith/blob/main/data/issues_25/issue_2910.json" TargetMode="External"/><Relationship Id="rId105" Type="http://schemas.openxmlformats.org/officeDocument/2006/relationships/hyperlink" Target="https://github.com/EaminC/AgentBug-Smith/tree/main/results/all_combined_f2p/issue_1793_20260826T195023Z" TargetMode="External"/><Relationship Id="rId226" Type="http://schemas.openxmlformats.org/officeDocument/2006/relationships/hyperlink" Target="https://github.com/EaminC/AgentBug-Smith/blob/main/data/issues_70/issue_166.json" TargetMode="External"/><Relationship Id="rId347" Type="http://schemas.openxmlformats.org/officeDocument/2006/relationships/hyperlink" Target="https://github.com/EaminC/AgentBug-Smith/blob/main/data/issues_25/issue_2734.json" TargetMode="External"/><Relationship Id="rId104" Type="http://schemas.openxmlformats.org/officeDocument/2006/relationships/hyperlink" Target="https://github.com/EaminC/AgentBug-Smith/tree/main/results/all_combined_f2p/issue_1294_20260816T182750Z" TargetMode="External"/><Relationship Id="rId225" Type="http://schemas.openxmlformats.org/officeDocument/2006/relationships/hyperlink" Target="https://github.com/EaminC/AgentBug-Smith/blob/main/data/issues_70/issue_160.json" TargetMode="External"/><Relationship Id="rId346" Type="http://schemas.openxmlformats.org/officeDocument/2006/relationships/hyperlink" Target="https://github.com/EaminC/AgentBug-Smith/blob/main/data/issues_25/issue_2632.json" TargetMode="External"/><Relationship Id="rId109" Type="http://schemas.openxmlformats.org/officeDocument/2006/relationships/hyperlink" Target="https://github.com/EaminC/AgentBug-Smith/tree/main/results/all_combined_f2p/issue_1892_20260729T152208Z" TargetMode="External"/><Relationship Id="rId108" Type="http://schemas.openxmlformats.org/officeDocument/2006/relationships/hyperlink" Target="https://github.com/EaminC/AgentBug-Smith/tree/main/results/all_combined_f2p/issue_3266_20260805T121048Z" TargetMode="External"/><Relationship Id="rId229" Type="http://schemas.openxmlformats.org/officeDocument/2006/relationships/hyperlink" Target="https://github.com/EaminC/AgentBug-Smith/blob/main/data/issues_70/issue_220.json" TargetMode="External"/><Relationship Id="rId220" Type="http://schemas.openxmlformats.org/officeDocument/2006/relationships/hyperlink" Target="https://github.com/EaminC/AgentBug-Smith/blob/main/data/issues_70/issue_1275.json" TargetMode="External"/><Relationship Id="rId341" Type="http://schemas.openxmlformats.org/officeDocument/2006/relationships/hyperlink" Target="https://github.com/EaminC/AgentBug-Smith/blob/main/data/issues_25/issue_196.json" TargetMode="External"/><Relationship Id="rId340" Type="http://schemas.openxmlformats.org/officeDocument/2006/relationships/hyperlink" Target="https://github.com/EaminC/AgentBug-Smith/blob/main/data/issues_25/issue_182.json" TargetMode="External"/><Relationship Id="rId103" Type="http://schemas.openxmlformats.org/officeDocument/2006/relationships/hyperlink" Target="https://github.com/EaminC/AgentBug-Smith/tree/main/results/all_combined_f2p/issue_6585_20260805T202509Z" TargetMode="External"/><Relationship Id="rId224" Type="http://schemas.openxmlformats.org/officeDocument/2006/relationships/hyperlink" Target="https://github.com/EaminC/AgentBug-Smith/blob/main/data/issues_70/issue_1539.json" TargetMode="External"/><Relationship Id="rId345" Type="http://schemas.openxmlformats.org/officeDocument/2006/relationships/hyperlink" Target="https://github.com/EaminC/AgentBug-Smith/blob/main/data/issues_25/issue_258.json" TargetMode="External"/><Relationship Id="rId102" Type="http://schemas.openxmlformats.org/officeDocument/2006/relationships/hyperlink" Target="https://github.com/EaminC/AgentBug-Smith/tree/main/results/all_combined_f2p/issue_2207_20260809T152833Z" TargetMode="External"/><Relationship Id="rId223" Type="http://schemas.openxmlformats.org/officeDocument/2006/relationships/hyperlink" Target="https://github.com/EaminC/AgentBug-Smith/blob/main/data/issues_70/issue_149.json" TargetMode="External"/><Relationship Id="rId344" Type="http://schemas.openxmlformats.org/officeDocument/2006/relationships/hyperlink" Target="https://github.com/EaminC/AgentBug-Smith/blob/main/data/issues_25/issue_2307.json" TargetMode="External"/><Relationship Id="rId101" Type="http://schemas.openxmlformats.org/officeDocument/2006/relationships/hyperlink" Target="https://github.com/EaminC/AgentBug-Smith/tree/main/results/all_combined_f2p/issue_1687_20260818T044726Z" TargetMode="External"/><Relationship Id="rId222" Type="http://schemas.openxmlformats.org/officeDocument/2006/relationships/hyperlink" Target="https://github.com/EaminC/AgentBug-Smith/blob/main/data/issues_70/issue_1430.json" TargetMode="External"/><Relationship Id="rId343" Type="http://schemas.openxmlformats.org/officeDocument/2006/relationships/hyperlink" Target="https://github.com/EaminC/AgentBug-Smith/blob/main/data/issues_25/issue_2150.json" TargetMode="External"/><Relationship Id="rId100" Type="http://schemas.openxmlformats.org/officeDocument/2006/relationships/hyperlink" Target="https://github.com/EaminC/AgentBug-Smith/tree/main/results/all_combined_f2p/issue_563_20260623T223350Z" TargetMode="External"/><Relationship Id="rId221" Type="http://schemas.openxmlformats.org/officeDocument/2006/relationships/hyperlink" Target="https://github.com/EaminC/AgentBug-Smith/blob/main/data/issues_70/issue_1327.json" TargetMode="External"/><Relationship Id="rId342" Type="http://schemas.openxmlformats.org/officeDocument/2006/relationships/hyperlink" Target="https://github.com/EaminC/AgentBug-Smith/blob/main/data/issues_25/issue_2105.json" TargetMode="External"/><Relationship Id="rId217" Type="http://schemas.openxmlformats.org/officeDocument/2006/relationships/hyperlink" Target="https://github.com/EaminC/AgentBug-Smith/blob/main/data/issues_70/issue_1148.json" TargetMode="External"/><Relationship Id="rId338" Type="http://schemas.openxmlformats.org/officeDocument/2006/relationships/hyperlink" Target="https://github.com/EaminC/AgentBug-Smith/blob/main/data/issues_25/issue_1790.json" TargetMode="External"/><Relationship Id="rId216" Type="http://schemas.openxmlformats.org/officeDocument/2006/relationships/hyperlink" Target="https://github.com/EaminC/AgentBug-Smith/blob/main/data/issues_70/issue_1115.json" TargetMode="External"/><Relationship Id="rId337" Type="http://schemas.openxmlformats.org/officeDocument/2006/relationships/hyperlink" Target="https://github.com/EaminC/AgentBug-Smith/blob/main/data/issues_25/issue_1723.json" TargetMode="External"/><Relationship Id="rId215" Type="http://schemas.openxmlformats.org/officeDocument/2006/relationships/hyperlink" Target="https://github.com/EaminC/AgentBug-Smith/blob/main/data/issues_70/issue_1112.json" TargetMode="External"/><Relationship Id="rId336" Type="http://schemas.openxmlformats.org/officeDocument/2006/relationships/hyperlink" Target="https://github.com/EaminC/AgentBug-Smith/blob/main/data/issues_25/issue_1658.json" TargetMode="External"/><Relationship Id="rId214" Type="http://schemas.openxmlformats.org/officeDocument/2006/relationships/hyperlink" Target="https://github.com/EaminC/AgentBug-Smith/blob/main/data/issues_70/issue_1059.json" TargetMode="External"/><Relationship Id="rId335" Type="http://schemas.openxmlformats.org/officeDocument/2006/relationships/hyperlink" Target="https://github.com/EaminC/AgentBug-Smith/blob/main/data/issues_25/issue_164.json" TargetMode="External"/><Relationship Id="rId219" Type="http://schemas.openxmlformats.org/officeDocument/2006/relationships/hyperlink" Target="https://github.com/EaminC/AgentBug-Smith/blob/main/data/issues_70/issue_1220.json" TargetMode="External"/><Relationship Id="rId218" Type="http://schemas.openxmlformats.org/officeDocument/2006/relationships/hyperlink" Target="https://github.com/EaminC/AgentBug-Smith/blob/main/data/issues_70/issue_1174.json" TargetMode="External"/><Relationship Id="rId339" Type="http://schemas.openxmlformats.org/officeDocument/2006/relationships/hyperlink" Target="https://github.com/EaminC/AgentBug-Smith/blob/main/data/issues_25/issue_181.json" TargetMode="External"/><Relationship Id="rId330" Type="http://schemas.openxmlformats.org/officeDocument/2006/relationships/hyperlink" Target="https://github.com/EaminC/AgentBug-Smith/blob/main/data/issues_50/issue_7155.json" TargetMode="External"/><Relationship Id="rId213" Type="http://schemas.openxmlformats.org/officeDocument/2006/relationships/hyperlink" Target="https://github.com/EaminC/AgentBug-Smith/blob/main/data/issues_70/issue_1016.json" TargetMode="External"/><Relationship Id="rId334" Type="http://schemas.openxmlformats.org/officeDocument/2006/relationships/hyperlink" Target="https://github.com/EaminC/AgentBug-Smith/blob/main/data/issues_25/issue_1521.json" TargetMode="External"/><Relationship Id="rId212" Type="http://schemas.openxmlformats.org/officeDocument/2006/relationships/hyperlink" Target="https://github.com/EaminC/AgentBug-Smith/blob/main/data/issues_80/issue_974.json" TargetMode="External"/><Relationship Id="rId333" Type="http://schemas.openxmlformats.org/officeDocument/2006/relationships/hyperlink" Target="https://github.com/EaminC/AgentBug-Smith/blob/main/data/issues_25/issue_102.json" TargetMode="External"/><Relationship Id="rId211" Type="http://schemas.openxmlformats.org/officeDocument/2006/relationships/hyperlink" Target="https://github.com/EaminC/AgentBug-Smith/blob/main/data/issues_80/issue_942.json" TargetMode="External"/><Relationship Id="rId332" Type="http://schemas.openxmlformats.org/officeDocument/2006/relationships/hyperlink" Target="https://github.com/EaminC/AgentBug-Smith/blob/main/data/issues_50/issue_9.json" TargetMode="External"/><Relationship Id="rId210" Type="http://schemas.openxmlformats.org/officeDocument/2006/relationships/hyperlink" Target="https://github.com/EaminC/AgentBug-Smith/blob/main/data/issues_80/issue_928.json" TargetMode="External"/><Relationship Id="rId331" Type="http://schemas.openxmlformats.org/officeDocument/2006/relationships/hyperlink" Target="https://github.com/EaminC/AgentBug-Smith/blob/main/data/issues_50/issue_8009.json" TargetMode="External"/><Relationship Id="rId370" Type="http://schemas.openxmlformats.org/officeDocument/2006/relationships/hyperlink" Target="https://github.com/always-further/AgentUp/issues/256" TargetMode="External"/><Relationship Id="rId129" Type="http://schemas.openxmlformats.org/officeDocument/2006/relationships/hyperlink" Target="https://github.com/EaminC/AgentBug-Smith/tree/main/results/all_combined_f2p/issue_5787_20260805T122049Z" TargetMode="External"/><Relationship Id="rId128" Type="http://schemas.openxmlformats.org/officeDocument/2006/relationships/hyperlink" Target="https://github.com/EaminC/AgentBug-Smith/tree/main/results/all_combined_f2p/issue_1724_20260729T103415Z" TargetMode="External"/><Relationship Id="rId249" Type="http://schemas.openxmlformats.org/officeDocument/2006/relationships/hyperlink" Target="https://github.com/EaminC/AgentBug-Smith/blob/main/data/issues_70/issue_4334.json" TargetMode="External"/><Relationship Id="rId127" Type="http://schemas.openxmlformats.org/officeDocument/2006/relationships/hyperlink" Target="https://github.com/EaminC/AgentBug-Smith/tree/main/results/all_combined_f2p/issue_1900_20260729T153729Z" TargetMode="External"/><Relationship Id="rId248" Type="http://schemas.openxmlformats.org/officeDocument/2006/relationships/hyperlink" Target="https://github.com/EaminC/AgentBug-Smith/blob/main/data/issues_70/issue_43.json" TargetMode="External"/><Relationship Id="rId369" Type="http://schemas.openxmlformats.org/officeDocument/2006/relationships/hyperlink" Target="https://github.com/MLSysOps/MLE-agent/issues/56" TargetMode="External"/><Relationship Id="rId126" Type="http://schemas.openxmlformats.org/officeDocument/2006/relationships/hyperlink" Target="https://github.com/EaminC/AgentBug-Smith/tree/main/results/all_combined_f2p/issue_3899_20260523T160836Z" TargetMode="External"/><Relationship Id="rId247" Type="http://schemas.openxmlformats.org/officeDocument/2006/relationships/hyperlink" Target="https://github.com/EaminC/AgentBug-Smith/blob/main/data/issues_70/issue_4182.json" TargetMode="External"/><Relationship Id="rId368" Type="http://schemas.openxmlformats.org/officeDocument/2006/relationships/hyperlink" Target="https://github.com/Significant-Gravitas/AutoGPT" TargetMode="External"/><Relationship Id="rId121" Type="http://schemas.openxmlformats.org/officeDocument/2006/relationships/hyperlink" Target="https://github.com/EaminC/AgentBug-Smith/tree/main/results/all_combined_f2p/issue_962_20260623T024247Z" TargetMode="External"/><Relationship Id="rId242" Type="http://schemas.openxmlformats.org/officeDocument/2006/relationships/hyperlink" Target="https://github.com/EaminC/AgentBug-Smith/blob/main/data/issues_70/issue_3584.json" TargetMode="External"/><Relationship Id="rId363" Type="http://schemas.openxmlformats.org/officeDocument/2006/relationships/hyperlink" Target="https://github.com/mastra-ai/mastra" TargetMode="External"/><Relationship Id="rId120" Type="http://schemas.openxmlformats.org/officeDocument/2006/relationships/hyperlink" Target="https://github.com/EaminC/AgentBug-Smith/tree/main/results/all_combined_f2p/issue_1904_20260729T163017Z" TargetMode="External"/><Relationship Id="rId241" Type="http://schemas.openxmlformats.org/officeDocument/2006/relationships/hyperlink" Target="https://github.com/EaminC/AgentBug-Smith/blob/main/data/issues_70/issue_3415.json" TargetMode="External"/><Relationship Id="rId362" Type="http://schemas.openxmlformats.org/officeDocument/2006/relationships/hyperlink" Target="https://github.com/strands-agents/sdk-python" TargetMode="External"/><Relationship Id="rId240" Type="http://schemas.openxmlformats.org/officeDocument/2006/relationships/hyperlink" Target="https://github.com/EaminC/AgentBug-Smith/blob/main/data/issues_70/issue_322.json" TargetMode="External"/><Relationship Id="rId361" Type="http://schemas.openxmlformats.org/officeDocument/2006/relationships/hyperlink" Target="https://github.com/crewAIInc/crewAI" TargetMode="External"/><Relationship Id="rId360" Type="http://schemas.openxmlformats.org/officeDocument/2006/relationships/hyperlink" Target="https://github.com/agentscope-ai/agentscope/issues/71" TargetMode="External"/><Relationship Id="rId125" Type="http://schemas.openxmlformats.org/officeDocument/2006/relationships/hyperlink" Target="https://github.com/EaminC/AgentBug-Smith/tree/main/results/all_combined_f2p/issue_1651_20260817T190549Z" TargetMode="External"/><Relationship Id="rId246" Type="http://schemas.openxmlformats.org/officeDocument/2006/relationships/hyperlink" Target="https://github.com/EaminC/AgentBug-Smith/blob/main/data/issues_70/issue_3836.json" TargetMode="External"/><Relationship Id="rId367" Type="http://schemas.openxmlformats.org/officeDocument/2006/relationships/hyperlink" Target="https://github.com/tensorzero/tensorzero" TargetMode="External"/><Relationship Id="rId124" Type="http://schemas.openxmlformats.org/officeDocument/2006/relationships/hyperlink" Target="https://github.com/EaminC/AgentBug-Smith/tree/main/results/all_combined_f2p/issue_2166_20260808T214256Z" TargetMode="External"/><Relationship Id="rId245" Type="http://schemas.openxmlformats.org/officeDocument/2006/relationships/hyperlink" Target="https://github.com/EaminC/AgentBug-Smith/blob/main/data/issues_70/issue_3807.json" TargetMode="External"/><Relationship Id="rId366" Type="http://schemas.openxmlformats.org/officeDocument/2006/relationships/hyperlink" Target="https://github.com/geekan/MetaGPT" TargetMode="External"/><Relationship Id="rId123" Type="http://schemas.openxmlformats.org/officeDocument/2006/relationships/hyperlink" Target="https://github.com/EaminC/AgentBug-Smith/tree/main/results/all_combined_f2p/issue_182_20260629T003502Z" TargetMode="External"/><Relationship Id="rId244" Type="http://schemas.openxmlformats.org/officeDocument/2006/relationships/hyperlink" Target="https://github.com/EaminC/AgentBug-Smith/blob/main/data/issues_70/issue_3662.json" TargetMode="External"/><Relationship Id="rId365" Type="http://schemas.openxmlformats.org/officeDocument/2006/relationships/hyperlink" Target="https://github.com/langflow-ai/langflow" TargetMode="External"/><Relationship Id="rId122" Type="http://schemas.openxmlformats.org/officeDocument/2006/relationships/hyperlink" Target="https://github.com/EaminC/AgentBug-Smith/tree/main/results/all_combined_f2p/issue_1696_20260818T061206Z" TargetMode="External"/><Relationship Id="rId243" Type="http://schemas.openxmlformats.org/officeDocument/2006/relationships/hyperlink" Target="https://github.com/EaminC/AgentBug-Smith/blob/main/data/issues_70/issue_3633.json" TargetMode="External"/><Relationship Id="rId364" Type="http://schemas.openxmlformats.org/officeDocument/2006/relationships/hyperlink" Target="https://github.com/langchain-ai/langgraph" TargetMode="External"/><Relationship Id="rId95" Type="http://schemas.openxmlformats.org/officeDocument/2006/relationships/hyperlink" Target="https://github.com/EaminC/AgentBug-Smith/tree/main/results/all_combined_f2p/issue_2122_20260820T091450Z" TargetMode="External"/><Relationship Id="rId94" Type="http://schemas.openxmlformats.org/officeDocument/2006/relationships/hyperlink" Target="https://github.com/EaminC/AgentBug-Smith/tree/main/results/all_combined_f2p/issue_2635_20260823T201645Z" TargetMode="External"/><Relationship Id="rId97" Type="http://schemas.openxmlformats.org/officeDocument/2006/relationships/hyperlink" Target="https://github.com/EaminC/AgentBug-Smith/tree/main/results/all_combined_f2p/issue_6050_20260805T172922Z" TargetMode="External"/><Relationship Id="rId96" Type="http://schemas.openxmlformats.org/officeDocument/2006/relationships/hyperlink" Target="https://github.com/EaminC/AgentBug-Smith/tree/main/results/all_combined_f2p/issue_2130_20260810T101709Z" TargetMode="External"/><Relationship Id="rId99" Type="http://schemas.openxmlformats.org/officeDocument/2006/relationships/hyperlink" Target="https://github.com/EaminC/AgentBug-Smith/tree/main/results/all_combined_f2p/issue_1067_20260814T123127Z" TargetMode="External"/><Relationship Id="rId98" Type="http://schemas.openxmlformats.org/officeDocument/2006/relationships/hyperlink" Target="https://github.com/EaminC/AgentBug-Smith/tree/main/results/all_combined_f2p/issue_1334_20260816T182942Z" TargetMode="External"/><Relationship Id="rId91" Type="http://schemas.openxmlformats.org/officeDocument/2006/relationships/hyperlink" Target="https://github.com/EaminC/AgentBug-Smith/tree/main/results/all_combined_f2p/issue_270_20260521T095849Z" TargetMode="External"/><Relationship Id="rId90" Type="http://schemas.openxmlformats.org/officeDocument/2006/relationships/hyperlink" Target="https://github.com/EaminC/AgentBug-Smith/tree/main/results/all_combined_f2p/issue_5784_20260805T155858Z" TargetMode="External"/><Relationship Id="rId93" Type="http://schemas.openxmlformats.org/officeDocument/2006/relationships/hyperlink" Target="https://github.com/EaminC/AgentBug-Smith/tree/main/results/all_combined_f2p/issue_2434_20260717T190630Z" TargetMode="External"/><Relationship Id="rId92" Type="http://schemas.openxmlformats.org/officeDocument/2006/relationships/hyperlink" Target="https://github.com/EaminC/AgentBug-Smith/tree/main/results/all_combined_f2p/issue_974_20260811T072652Z" TargetMode="External"/><Relationship Id="rId118" Type="http://schemas.openxmlformats.org/officeDocument/2006/relationships/hyperlink" Target="https://github.com/EaminC/AgentBug-Smith/tree/main/results/all_combined_f2p/issue_2191_20260803T014118Z" TargetMode="External"/><Relationship Id="rId239" Type="http://schemas.openxmlformats.org/officeDocument/2006/relationships/hyperlink" Target="https://github.com/EaminC/AgentBug-Smith/blob/main/data/issues_70/issue_302.json" TargetMode="External"/><Relationship Id="rId117" Type="http://schemas.openxmlformats.org/officeDocument/2006/relationships/hyperlink" Target="https://github.com/EaminC/AgentBug-Smith/tree/main/results/all_combined_f2p/issue_266_20260622T100845Z" TargetMode="External"/><Relationship Id="rId238" Type="http://schemas.openxmlformats.org/officeDocument/2006/relationships/hyperlink" Target="https://github.com/EaminC/AgentBug-Smith/blob/main/data/issues_70/issue_3005.json" TargetMode="External"/><Relationship Id="rId359" Type="http://schemas.openxmlformats.org/officeDocument/2006/relationships/hyperlink" Target="https://github.com/VoltAgent/voltagent/issues/87" TargetMode="External"/><Relationship Id="rId116" Type="http://schemas.openxmlformats.org/officeDocument/2006/relationships/hyperlink" Target="https://github.com/EaminC/AgentBug-Smith/tree/main/results/all_combined_f2p/issue_29_20260614T084508Z" TargetMode="External"/><Relationship Id="rId237" Type="http://schemas.openxmlformats.org/officeDocument/2006/relationships/hyperlink" Target="https://github.com/EaminC/AgentBug-Smith/blob/main/data/issues_70/issue_298.json" TargetMode="External"/><Relationship Id="rId358" Type="http://schemas.openxmlformats.org/officeDocument/2006/relationships/hyperlink" Target="https://github.com/dapr/dapr-agents/issues/83" TargetMode="External"/><Relationship Id="rId115" Type="http://schemas.openxmlformats.org/officeDocument/2006/relationships/hyperlink" Target="https://github.com/EaminC/AgentBug-Smith/tree/main/results/all_combined_f2p/issue_141_20260729T075605Z" TargetMode="External"/><Relationship Id="rId236" Type="http://schemas.openxmlformats.org/officeDocument/2006/relationships/hyperlink" Target="https://github.com/EaminC/AgentBug-Smith/blob/main/data/issues_70/issue_2864.json" TargetMode="External"/><Relationship Id="rId357" Type="http://schemas.openxmlformats.org/officeDocument/2006/relationships/hyperlink" Target="https://github.com/EaminC/AgentBug-Smith/blob/main/data/issues_25/issue_931.json" TargetMode="External"/><Relationship Id="rId119" Type="http://schemas.openxmlformats.org/officeDocument/2006/relationships/hyperlink" Target="https://github.com/EaminC/AgentBug-Smith/tree/main/results/all_combined_f2p/issue_231_20260812T204159Z" TargetMode="External"/><Relationship Id="rId110" Type="http://schemas.openxmlformats.org/officeDocument/2006/relationships/hyperlink" Target="https://github.com/EaminC/AgentBug-Smith/tree/main/results/all_combined_f2p/issue_1723_20260605T144633Z" TargetMode="External"/><Relationship Id="rId231" Type="http://schemas.openxmlformats.org/officeDocument/2006/relationships/hyperlink" Target="https://github.com/EaminC/AgentBug-Smith/blob/main/data/issues_70/issue_253.json" TargetMode="External"/><Relationship Id="rId352" Type="http://schemas.openxmlformats.org/officeDocument/2006/relationships/hyperlink" Target="https://github.com/EaminC/AgentBug-Smith/blob/main/data/issues_25/issue_4822.json" TargetMode="External"/><Relationship Id="rId230" Type="http://schemas.openxmlformats.org/officeDocument/2006/relationships/hyperlink" Target="https://github.com/EaminC/AgentBug-Smith/blob/main/data/issues_70/issue_245.json" TargetMode="External"/><Relationship Id="rId351" Type="http://schemas.openxmlformats.org/officeDocument/2006/relationships/hyperlink" Target="https://github.com/EaminC/AgentBug-Smith/blob/main/data/issues_25/issue_4647.json" TargetMode="External"/><Relationship Id="rId350" Type="http://schemas.openxmlformats.org/officeDocument/2006/relationships/hyperlink" Target="https://github.com/EaminC/AgentBug-Smith/blob/main/data/issues_25/issue_3906.json" TargetMode="External"/><Relationship Id="rId114" Type="http://schemas.openxmlformats.org/officeDocument/2006/relationships/hyperlink" Target="https://github.com/EaminC/AgentBug-Smith/tree/main/results/all_combined_f2p/issue_1208_20260816T000846Z" TargetMode="External"/><Relationship Id="rId235" Type="http://schemas.openxmlformats.org/officeDocument/2006/relationships/hyperlink" Target="https://github.com/EaminC/AgentBug-Smith/blob/main/data/issues_70/issue_270.json" TargetMode="External"/><Relationship Id="rId356" Type="http://schemas.openxmlformats.org/officeDocument/2006/relationships/hyperlink" Target="https://github.com/EaminC/AgentBug-Smith/blob/main/data/issues_25/issue_6321.json" TargetMode="External"/><Relationship Id="rId113" Type="http://schemas.openxmlformats.org/officeDocument/2006/relationships/hyperlink" Target="https://github.com/EaminC/AgentBug-Smith/tree/main/results/all_combined_f2p/issue_2968_20260717T205549Z" TargetMode="External"/><Relationship Id="rId234" Type="http://schemas.openxmlformats.org/officeDocument/2006/relationships/hyperlink" Target="https://github.com/EaminC/AgentBug-Smith/blob/main/data/issues_70/issue_266.json" TargetMode="External"/><Relationship Id="rId355" Type="http://schemas.openxmlformats.org/officeDocument/2006/relationships/hyperlink" Target="https://github.com/EaminC/AgentBug-Smith/blob/main/data/issues_25/issue_63.json" TargetMode="External"/><Relationship Id="rId112" Type="http://schemas.openxmlformats.org/officeDocument/2006/relationships/hyperlink" Target="https://github.com/EaminC/AgentBug-Smith/tree/main/results/all_combined_f2p/issue_240_20260522T221855Z" TargetMode="External"/><Relationship Id="rId233" Type="http://schemas.openxmlformats.org/officeDocument/2006/relationships/hyperlink" Target="https://github.com/EaminC/AgentBug-Smith/blob/main/data/issues_70/issue_2598.json" TargetMode="External"/><Relationship Id="rId354" Type="http://schemas.openxmlformats.org/officeDocument/2006/relationships/hyperlink" Target="https://github.com/EaminC/AgentBug-Smith/blob/main/data/issues_25/issue_625.json" TargetMode="External"/><Relationship Id="rId111" Type="http://schemas.openxmlformats.org/officeDocument/2006/relationships/hyperlink" Target="https://github.com/EaminC/AgentBug-Smith/tree/main/results/all_combined_f2p/issue_563_20260730T151938Z" TargetMode="External"/><Relationship Id="rId232" Type="http://schemas.openxmlformats.org/officeDocument/2006/relationships/hyperlink" Target="https://github.com/EaminC/AgentBug-Smith/blob/main/data/issues_70/issue_259.json" TargetMode="External"/><Relationship Id="rId353" Type="http://schemas.openxmlformats.org/officeDocument/2006/relationships/hyperlink" Target="https://github.com/EaminC/AgentBug-Smith/blob/main/data/issues_25/issue_502.json" TargetMode="External"/><Relationship Id="rId305" Type="http://schemas.openxmlformats.org/officeDocument/2006/relationships/hyperlink" Target="https://github.com/EaminC/AgentBug-Smith/blob/main/data/issues_50/issue_2402.json" TargetMode="External"/><Relationship Id="rId304" Type="http://schemas.openxmlformats.org/officeDocument/2006/relationships/hyperlink" Target="https://github.com/EaminC/AgentBug-Smith/blob/main/data/issues_50/issue_240.json" TargetMode="External"/><Relationship Id="rId303" Type="http://schemas.openxmlformats.org/officeDocument/2006/relationships/hyperlink" Target="https://github.com/EaminC/AgentBug-Smith/blob/main/data/issues_50/issue_2330.json" TargetMode="External"/><Relationship Id="rId302" Type="http://schemas.openxmlformats.org/officeDocument/2006/relationships/hyperlink" Target="https://github.com/EaminC/AgentBug-Smith/blob/main/data/issues_50/issue_2260.json" TargetMode="External"/><Relationship Id="rId309" Type="http://schemas.openxmlformats.org/officeDocument/2006/relationships/hyperlink" Target="https://github.com/EaminC/AgentBug-Smith/blob/main/data/issues_50/issue_2551.json" TargetMode="External"/><Relationship Id="rId308" Type="http://schemas.openxmlformats.org/officeDocument/2006/relationships/hyperlink" Target="https://github.com/EaminC/AgentBug-Smith/blob/main/data/issues_50/issue_2543.json" TargetMode="External"/><Relationship Id="rId307" Type="http://schemas.openxmlformats.org/officeDocument/2006/relationships/hyperlink" Target="https://github.com/EaminC/AgentBug-Smith/blob/main/data/issues_50/issue_2434.json" TargetMode="External"/><Relationship Id="rId306" Type="http://schemas.openxmlformats.org/officeDocument/2006/relationships/hyperlink" Target="https://github.com/EaminC/AgentBug-Smith/blob/main/data/issues_50/issue_2421.json" TargetMode="External"/><Relationship Id="rId301" Type="http://schemas.openxmlformats.org/officeDocument/2006/relationships/hyperlink" Target="https://github.com/EaminC/AgentBug-Smith/blob/main/data/issues_50/issue_2191.json" TargetMode="External"/><Relationship Id="rId300" Type="http://schemas.openxmlformats.org/officeDocument/2006/relationships/hyperlink" Target="https://github.com/EaminC/AgentBug-Smith/blob/main/data/issues_50/issue_2175.json" TargetMode="External"/><Relationship Id="rId206" Type="http://schemas.openxmlformats.org/officeDocument/2006/relationships/hyperlink" Target="https://github.com/EaminC/AgentBug-Smith/blob/main/data/issues_80/issue_878.json" TargetMode="External"/><Relationship Id="rId327" Type="http://schemas.openxmlformats.org/officeDocument/2006/relationships/hyperlink" Target="https://github.com/EaminC/AgentBug-Smith/blob/main/data/issues_50/issue_4376.json" TargetMode="External"/><Relationship Id="rId205" Type="http://schemas.openxmlformats.org/officeDocument/2006/relationships/hyperlink" Target="https://github.com/EaminC/AgentBug-Smith/blob/main/data/issues_80/issue_87.json" TargetMode="External"/><Relationship Id="rId326" Type="http://schemas.openxmlformats.org/officeDocument/2006/relationships/hyperlink" Target="https://github.com/EaminC/AgentBug-Smith/blob/main/data/issues_50/issue_3954.json" TargetMode="External"/><Relationship Id="rId204" Type="http://schemas.openxmlformats.org/officeDocument/2006/relationships/hyperlink" Target="https://github.com/EaminC/AgentBug-Smith/blob/main/data/issues_80/issue_83.json" TargetMode="External"/><Relationship Id="rId325" Type="http://schemas.openxmlformats.org/officeDocument/2006/relationships/hyperlink" Target="https://github.com/EaminC/AgentBug-Smith/blob/main/data/issues_50/issue_3899.json" TargetMode="External"/><Relationship Id="rId203" Type="http://schemas.openxmlformats.org/officeDocument/2006/relationships/hyperlink" Target="https://github.com/EaminC/AgentBug-Smith/blob/main/data/issues_80/issue_793.json" TargetMode="External"/><Relationship Id="rId324" Type="http://schemas.openxmlformats.org/officeDocument/2006/relationships/hyperlink" Target="https://github.com/EaminC/AgentBug-Smith/blob/main/data/issues_50/issue_3828.json" TargetMode="External"/><Relationship Id="rId209" Type="http://schemas.openxmlformats.org/officeDocument/2006/relationships/hyperlink" Target="https://github.com/EaminC/AgentBug-Smith/blob/main/data/issues_80/issue_923.json" TargetMode="External"/><Relationship Id="rId208" Type="http://schemas.openxmlformats.org/officeDocument/2006/relationships/hyperlink" Target="https://github.com/EaminC/AgentBug-Smith/blob/main/data/issues_80/issue_921.json" TargetMode="External"/><Relationship Id="rId329" Type="http://schemas.openxmlformats.org/officeDocument/2006/relationships/hyperlink" Target="https://github.com/EaminC/AgentBug-Smith/blob/main/data/issues_50/issue_563.json" TargetMode="External"/><Relationship Id="rId207" Type="http://schemas.openxmlformats.org/officeDocument/2006/relationships/hyperlink" Target="https://github.com/EaminC/AgentBug-Smith/blob/main/data/issues_80/issue_91.json" TargetMode="External"/><Relationship Id="rId328" Type="http://schemas.openxmlformats.org/officeDocument/2006/relationships/hyperlink" Target="https://github.com/EaminC/AgentBug-Smith/blob/main/data/issues_50/issue_4838.json" TargetMode="External"/><Relationship Id="rId202" Type="http://schemas.openxmlformats.org/officeDocument/2006/relationships/hyperlink" Target="https://github.com/EaminC/AgentBug-Smith/blob/main/data/issues_80/issue_768.json" TargetMode="External"/><Relationship Id="rId323" Type="http://schemas.openxmlformats.org/officeDocument/2006/relationships/hyperlink" Target="https://github.com/EaminC/AgentBug-Smith/blob/main/data/issues_50/issue_3583.json" TargetMode="External"/><Relationship Id="rId201" Type="http://schemas.openxmlformats.org/officeDocument/2006/relationships/hyperlink" Target="https://github.com/EaminC/AgentBug-Smith/blob/main/data/issues_80/issue_71.json" TargetMode="External"/><Relationship Id="rId322" Type="http://schemas.openxmlformats.org/officeDocument/2006/relationships/hyperlink" Target="https://github.com/EaminC/AgentBug-Smith/blob/main/data/issues_50/issue_3463.json" TargetMode="External"/><Relationship Id="rId200" Type="http://schemas.openxmlformats.org/officeDocument/2006/relationships/hyperlink" Target="https://github.com/EaminC/AgentBug-Smith/blob/main/data/issues_80/issue_700.json" TargetMode="External"/><Relationship Id="rId321" Type="http://schemas.openxmlformats.org/officeDocument/2006/relationships/hyperlink" Target="https://github.com/EaminC/AgentBug-Smith/blob/main/data/issues_50/issue_3391.json" TargetMode="External"/><Relationship Id="rId320" Type="http://schemas.openxmlformats.org/officeDocument/2006/relationships/hyperlink" Target="https://github.com/EaminC/AgentBug-Smith/blob/main/data/issues_50/issue_3152.json" TargetMode="External"/><Relationship Id="rId316" Type="http://schemas.openxmlformats.org/officeDocument/2006/relationships/hyperlink" Target="https://github.com/EaminC/AgentBug-Smith/blob/main/data/issues_50/issue_2899.json" TargetMode="External"/><Relationship Id="rId315" Type="http://schemas.openxmlformats.org/officeDocument/2006/relationships/hyperlink" Target="https://github.com/EaminC/AgentBug-Smith/blob/main/data/issues_50/issue_2871.json" TargetMode="External"/><Relationship Id="rId314" Type="http://schemas.openxmlformats.org/officeDocument/2006/relationships/hyperlink" Target="https://github.com/EaminC/AgentBug-Smith/blob/main/data/issues_50/issue_2789.json" TargetMode="External"/><Relationship Id="rId313" Type="http://schemas.openxmlformats.org/officeDocument/2006/relationships/hyperlink" Target="https://github.com/EaminC/AgentBug-Smith/blob/main/data/issues_50/issue_2776.json" TargetMode="External"/><Relationship Id="rId319" Type="http://schemas.openxmlformats.org/officeDocument/2006/relationships/hyperlink" Target="https://github.com/EaminC/AgentBug-Smith/blob/main/data/issues_50/issue_3112.json" TargetMode="External"/><Relationship Id="rId318" Type="http://schemas.openxmlformats.org/officeDocument/2006/relationships/hyperlink" Target="https://github.com/EaminC/AgentBug-Smith/blob/main/data/issues_50/issue_3079.json" TargetMode="External"/><Relationship Id="rId317" Type="http://schemas.openxmlformats.org/officeDocument/2006/relationships/hyperlink" Target="https://github.com/EaminC/AgentBug-Smith/blob/main/data/issues_50/issue_2968.json" TargetMode="External"/><Relationship Id="rId312" Type="http://schemas.openxmlformats.org/officeDocument/2006/relationships/hyperlink" Target="https://github.com/EaminC/AgentBug-Smith/blob/main/data/issues_50/issue_2593.json" TargetMode="External"/><Relationship Id="rId311" Type="http://schemas.openxmlformats.org/officeDocument/2006/relationships/hyperlink" Target="https://github.com/EaminC/AgentBug-Smith/blob/main/data/issues_50/issue_2587.json" TargetMode="External"/><Relationship Id="rId310" Type="http://schemas.openxmlformats.org/officeDocument/2006/relationships/hyperlink" Target="https://github.com/EaminC/AgentBug-Smith/blob/main/data/issues_50/issue_2561.js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rxiv.org/html/2505.23419v2)" TargetMode="External"/><Relationship Id="rId2" Type="http://schemas.openxmlformats.org/officeDocument/2006/relationships/drawing" Target="../drawings/drawing4.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dapr/dapr-agents/issues/83" TargetMode="External"/><Relationship Id="rId2" Type="http://schemas.openxmlformats.org/officeDocument/2006/relationships/hyperlink" Target="https://github.com/VoltAgent/voltagent/issues/87" TargetMode="External"/><Relationship Id="rId3" Type="http://schemas.openxmlformats.org/officeDocument/2006/relationships/hyperlink" Target="https://github.com/agentscope-ai/agentscope/issues/71" TargetMode="External"/><Relationship Id="rId4" Type="http://schemas.openxmlformats.org/officeDocument/2006/relationships/hyperlink" Target="https://github.com/crewAIInc/crewAI" TargetMode="External"/><Relationship Id="rId9" Type="http://schemas.openxmlformats.org/officeDocument/2006/relationships/hyperlink" Target="https://github.com/geekan/MetaGPT" TargetMode="External"/><Relationship Id="rId5" Type="http://schemas.openxmlformats.org/officeDocument/2006/relationships/hyperlink" Target="https://github.com/strands-agents/sdk-python" TargetMode="External"/><Relationship Id="rId6" Type="http://schemas.openxmlformats.org/officeDocument/2006/relationships/hyperlink" Target="https://github.com/mastra-ai/mastra" TargetMode="External"/><Relationship Id="rId7" Type="http://schemas.openxmlformats.org/officeDocument/2006/relationships/hyperlink" Target="https://github.com/langchain-ai/langgraph" TargetMode="External"/><Relationship Id="rId8" Type="http://schemas.openxmlformats.org/officeDocument/2006/relationships/hyperlink" Target="https://github.com/langflow-ai/langflow" TargetMode="External"/><Relationship Id="rId31" Type="http://schemas.openxmlformats.org/officeDocument/2006/relationships/table" Target="../tables/table9.xml"/><Relationship Id="rId30" Type="http://schemas.openxmlformats.org/officeDocument/2006/relationships/table" Target="../tables/table8.xml"/><Relationship Id="rId33" Type="http://schemas.openxmlformats.org/officeDocument/2006/relationships/table" Target="../tables/table11.xml"/><Relationship Id="rId32" Type="http://schemas.openxmlformats.org/officeDocument/2006/relationships/table" Target="../tables/table10.xml"/><Relationship Id="rId35" Type="http://schemas.openxmlformats.org/officeDocument/2006/relationships/table" Target="../tables/table13.xml"/><Relationship Id="rId34" Type="http://schemas.openxmlformats.org/officeDocument/2006/relationships/table" Target="../tables/table12.xml"/><Relationship Id="rId20" Type="http://schemas.openxmlformats.org/officeDocument/2006/relationships/hyperlink" Target="https://github.com/lobehub/lobehub" TargetMode="External"/><Relationship Id="rId21" Type="http://schemas.openxmlformats.org/officeDocument/2006/relationships/drawing" Target="../drawings/drawing7.xml"/><Relationship Id="rId29" Type="http://schemas.openxmlformats.org/officeDocument/2006/relationships/table" Target="../tables/table7.xml"/><Relationship Id="rId11" Type="http://schemas.openxmlformats.org/officeDocument/2006/relationships/hyperlink" Target="https://github.com/Significant-Gravitas/AutoGPT" TargetMode="External"/><Relationship Id="rId10" Type="http://schemas.openxmlformats.org/officeDocument/2006/relationships/hyperlink" Target="https://github.com/tensorzero/tensorzero" TargetMode="External"/><Relationship Id="rId13" Type="http://schemas.openxmlformats.org/officeDocument/2006/relationships/hyperlink" Target="https://github.com/always-further/AgentUp/issues/256" TargetMode="External"/><Relationship Id="rId12" Type="http://schemas.openxmlformats.org/officeDocument/2006/relationships/hyperlink" Target="https://github.com/MLSysOps/MLE-agent/issues/56" TargetMode="External"/><Relationship Id="rId15" Type="http://schemas.openxmlformats.org/officeDocument/2006/relationships/hyperlink" Target="https://github.com/reworkd/AgentGPT" TargetMode="External"/><Relationship Id="rId14" Type="http://schemas.openxmlformats.org/officeDocument/2006/relationships/hyperlink" Target="https://github.com/Canner/WrenAI" TargetMode="External"/><Relationship Id="rId17" Type="http://schemas.openxmlformats.org/officeDocument/2006/relationships/hyperlink" Target="https://github.com/ValueCell-ai/valuecell" TargetMode="External"/><Relationship Id="rId16" Type="http://schemas.openxmlformats.org/officeDocument/2006/relationships/hyperlink" Target="https://github.com/Aider-AI/aider" TargetMode="External"/><Relationship Id="rId19" Type="http://schemas.openxmlformats.org/officeDocument/2006/relationships/hyperlink" Target="https://github.com/OpenInterpreter/open-interpreter" TargetMode="External"/><Relationship Id="rId18" Type="http://schemas.openxmlformats.org/officeDocument/2006/relationships/hyperlink" Target="https://github.com/AntonOsika/gpt-engine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dapr/dapr-agents/issues/83" TargetMode="External"/><Relationship Id="rId2" Type="http://schemas.openxmlformats.org/officeDocument/2006/relationships/hyperlink" Target="https://github.com/VoltAgent/voltagent/issues/87" TargetMode="External"/><Relationship Id="rId3" Type="http://schemas.openxmlformats.org/officeDocument/2006/relationships/hyperlink" Target="https://github.com/agentscope-ai/agentscope/issues/71" TargetMode="External"/><Relationship Id="rId4" Type="http://schemas.openxmlformats.org/officeDocument/2006/relationships/hyperlink" Target="https://github.com/crewAIInc/crewAI" TargetMode="External"/><Relationship Id="rId9" Type="http://schemas.openxmlformats.org/officeDocument/2006/relationships/hyperlink" Target="https://github.com/geekan/MetaGPT" TargetMode="External"/><Relationship Id="rId5" Type="http://schemas.openxmlformats.org/officeDocument/2006/relationships/hyperlink" Target="https://github.com/strands-agents/sdk-python" TargetMode="External"/><Relationship Id="rId6" Type="http://schemas.openxmlformats.org/officeDocument/2006/relationships/hyperlink" Target="https://github.com/mastra-ai/mastra" TargetMode="External"/><Relationship Id="rId7" Type="http://schemas.openxmlformats.org/officeDocument/2006/relationships/hyperlink" Target="https://github.com/langchain-ai/langgraph" TargetMode="External"/><Relationship Id="rId8" Type="http://schemas.openxmlformats.org/officeDocument/2006/relationships/hyperlink" Target="https://github.com/langflow-ai/langflow" TargetMode="External"/><Relationship Id="rId20" Type="http://schemas.openxmlformats.org/officeDocument/2006/relationships/hyperlink" Target="https://github.com/lobehub/lobehub" TargetMode="External"/><Relationship Id="rId21" Type="http://schemas.openxmlformats.org/officeDocument/2006/relationships/drawing" Target="../drawings/drawing8.xml"/><Relationship Id="rId26" Type="http://schemas.openxmlformats.org/officeDocument/2006/relationships/table" Target="../tables/table14.xml"/><Relationship Id="rId28" Type="http://schemas.openxmlformats.org/officeDocument/2006/relationships/table" Target="../tables/table16.xml"/><Relationship Id="rId27" Type="http://schemas.openxmlformats.org/officeDocument/2006/relationships/table" Target="../tables/table15.xml"/><Relationship Id="rId29" Type="http://schemas.openxmlformats.org/officeDocument/2006/relationships/table" Target="../tables/table17.xml"/><Relationship Id="rId11" Type="http://schemas.openxmlformats.org/officeDocument/2006/relationships/hyperlink" Target="https://github.com/Significant-Gravitas/AutoGPT" TargetMode="External"/><Relationship Id="rId10" Type="http://schemas.openxmlformats.org/officeDocument/2006/relationships/hyperlink" Target="https://github.com/tensorzero/tensorzero" TargetMode="External"/><Relationship Id="rId13" Type="http://schemas.openxmlformats.org/officeDocument/2006/relationships/hyperlink" Target="https://github.com/always-further/AgentUp/issues/256" TargetMode="External"/><Relationship Id="rId12" Type="http://schemas.openxmlformats.org/officeDocument/2006/relationships/hyperlink" Target="https://github.com/MLSysOps/MLE-agent/issues/56" TargetMode="External"/><Relationship Id="rId15" Type="http://schemas.openxmlformats.org/officeDocument/2006/relationships/hyperlink" Target="https://github.com/reworkd/AgentGPT" TargetMode="External"/><Relationship Id="rId14" Type="http://schemas.openxmlformats.org/officeDocument/2006/relationships/hyperlink" Target="https://github.com/Canner/WrenAI" TargetMode="External"/><Relationship Id="rId17" Type="http://schemas.openxmlformats.org/officeDocument/2006/relationships/hyperlink" Target="https://github.com/ValueCell-ai/valuecell" TargetMode="External"/><Relationship Id="rId16" Type="http://schemas.openxmlformats.org/officeDocument/2006/relationships/hyperlink" Target="https://github.com/Aider-AI/aider" TargetMode="External"/><Relationship Id="rId19" Type="http://schemas.openxmlformats.org/officeDocument/2006/relationships/hyperlink" Target="https://github.com/OpenInterpreter/open-interpreter" TargetMode="External"/><Relationship Id="rId18" Type="http://schemas.openxmlformats.org/officeDocument/2006/relationships/hyperlink" Target="https://github.com/AntonOsika/gpt-engine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dapr/dapr-agents/issues/83" TargetMode="External"/><Relationship Id="rId2" Type="http://schemas.openxmlformats.org/officeDocument/2006/relationships/hyperlink" Target="https://github.com/VoltAgent/voltagent/issues/87" TargetMode="External"/><Relationship Id="rId3" Type="http://schemas.openxmlformats.org/officeDocument/2006/relationships/hyperlink" Target="https://github.com/agentscope-ai/agentscope/issues/71" TargetMode="External"/><Relationship Id="rId4" Type="http://schemas.openxmlformats.org/officeDocument/2006/relationships/hyperlink" Target="https://github.com/crewAIInc/crewAI" TargetMode="External"/><Relationship Id="rId9" Type="http://schemas.openxmlformats.org/officeDocument/2006/relationships/hyperlink" Target="https://github.com/geekan/MetaGPT" TargetMode="External"/><Relationship Id="rId5" Type="http://schemas.openxmlformats.org/officeDocument/2006/relationships/hyperlink" Target="https://github.com/strands-agents/sdk-python" TargetMode="External"/><Relationship Id="rId6" Type="http://schemas.openxmlformats.org/officeDocument/2006/relationships/hyperlink" Target="https://github.com/mastra-ai/mastra" TargetMode="External"/><Relationship Id="rId7" Type="http://schemas.openxmlformats.org/officeDocument/2006/relationships/hyperlink" Target="https://github.com/langchain-ai/langgraph" TargetMode="External"/><Relationship Id="rId8" Type="http://schemas.openxmlformats.org/officeDocument/2006/relationships/hyperlink" Target="https://github.com/langflow-ai/langflow" TargetMode="External"/><Relationship Id="rId20" Type="http://schemas.openxmlformats.org/officeDocument/2006/relationships/hyperlink" Target="https://github.com/lobehub/lobehub" TargetMode="External"/><Relationship Id="rId21" Type="http://schemas.openxmlformats.org/officeDocument/2006/relationships/drawing" Target="../drawings/drawing9.xml"/><Relationship Id="rId26" Type="http://schemas.openxmlformats.org/officeDocument/2006/relationships/table" Target="../tables/table18.xml"/><Relationship Id="rId28" Type="http://schemas.openxmlformats.org/officeDocument/2006/relationships/table" Target="../tables/table20.xml"/><Relationship Id="rId27" Type="http://schemas.openxmlformats.org/officeDocument/2006/relationships/table" Target="../tables/table19.xml"/><Relationship Id="rId29" Type="http://schemas.openxmlformats.org/officeDocument/2006/relationships/table" Target="../tables/table21.xml"/><Relationship Id="rId11" Type="http://schemas.openxmlformats.org/officeDocument/2006/relationships/hyperlink" Target="https://github.com/Significant-Gravitas/AutoGPT" TargetMode="External"/><Relationship Id="rId10" Type="http://schemas.openxmlformats.org/officeDocument/2006/relationships/hyperlink" Target="https://github.com/tensorzero/tensorzero" TargetMode="External"/><Relationship Id="rId13" Type="http://schemas.openxmlformats.org/officeDocument/2006/relationships/hyperlink" Target="https://github.com/always-further/AgentUp/issues/256" TargetMode="External"/><Relationship Id="rId12" Type="http://schemas.openxmlformats.org/officeDocument/2006/relationships/hyperlink" Target="https://github.com/MLSysOps/MLE-agent/issues/56" TargetMode="External"/><Relationship Id="rId15" Type="http://schemas.openxmlformats.org/officeDocument/2006/relationships/hyperlink" Target="https://github.com/reworkd/AgentGPT" TargetMode="External"/><Relationship Id="rId14" Type="http://schemas.openxmlformats.org/officeDocument/2006/relationships/hyperlink" Target="https://github.com/Canner/WrenAI" TargetMode="External"/><Relationship Id="rId17" Type="http://schemas.openxmlformats.org/officeDocument/2006/relationships/hyperlink" Target="https://github.com/ValueCell-ai/valuecell" TargetMode="External"/><Relationship Id="rId16" Type="http://schemas.openxmlformats.org/officeDocument/2006/relationships/hyperlink" Target="https://github.com/Aider-AI/aider" TargetMode="External"/><Relationship Id="rId19" Type="http://schemas.openxmlformats.org/officeDocument/2006/relationships/hyperlink" Target="https://github.com/OpenInterpreter/open-interpreter" TargetMode="External"/><Relationship Id="rId18" Type="http://schemas.openxmlformats.org/officeDocument/2006/relationships/hyperlink" Target="https://github.com/AntonOsika/gpt-enginee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0" Type="http://schemas.openxmlformats.org/officeDocument/2006/relationships/table" Target="../tables/table28.xml"/><Relationship Id="rId22" Type="http://schemas.openxmlformats.org/officeDocument/2006/relationships/table" Target="../tables/table30.xml"/><Relationship Id="rId21" Type="http://schemas.openxmlformats.org/officeDocument/2006/relationships/table" Target="../tables/table29.xml"/><Relationship Id="rId24" Type="http://schemas.openxmlformats.org/officeDocument/2006/relationships/table" Target="../tables/table32.xml"/><Relationship Id="rId23" Type="http://schemas.openxmlformats.org/officeDocument/2006/relationships/table" Target="../tables/table31.xml"/><Relationship Id="rId25" Type="http://schemas.openxmlformats.org/officeDocument/2006/relationships/table" Target="../tables/table33.xml"/><Relationship Id="rId15" Type="http://schemas.openxmlformats.org/officeDocument/2006/relationships/table" Target="../tables/table23.xml"/><Relationship Id="rId14" Type="http://schemas.openxmlformats.org/officeDocument/2006/relationships/table" Target="../tables/table22.xml"/><Relationship Id="rId17" Type="http://schemas.openxmlformats.org/officeDocument/2006/relationships/table" Target="../tables/table25.xml"/><Relationship Id="rId16" Type="http://schemas.openxmlformats.org/officeDocument/2006/relationships/table" Target="../tables/table24.xml"/><Relationship Id="rId19" Type="http://schemas.openxmlformats.org/officeDocument/2006/relationships/table" Target="../tables/table27.xml"/><Relationship Id="rId18"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3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14.38"/>
  </cols>
  <sheetData>
    <row r="1">
      <c r="A1" s="1" t="s">
        <v>0</v>
      </c>
    </row>
    <row r="2">
      <c r="A2" s="2" t="s">
        <v>1</v>
      </c>
      <c r="B2" s="2" t="s">
        <v>2</v>
      </c>
    </row>
    <row r="4">
      <c r="A4" s="3" t="s">
        <v>3</v>
      </c>
      <c r="B4" s="4"/>
      <c r="C4" s="4"/>
      <c r="D4" s="4"/>
      <c r="E4" s="4"/>
      <c r="F4" s="4"/>
      <c r="G4" s="4"/>
      <c r="H4" s="4"/>
      <c r="I4" s="4"/>
      <c r="J4" s="4"/>
      <c r="K4" s="4"/>
      <c r="L4" s="4"/>
      <c r="M4" s="4"/>
      <c r="N4" s="4"/>
      <c r="O4" s="4"/>
      <c r="P4" s="4"/>
      <c r="Q4" s="4"/>
      <c r="R4" s="4"/>
      <c r="S4" s="4"/>
      <c r="T4" s="4"/>
      <c r="U4" s="4"/>
      <c r="V4" s="4"/>
      <c r="W4" s="4"/>
      <c r="X4" s="4"/>
      <c r="Y4" s="4"/>
      <c r="Z4" s="4"/>
    </row>
    <row r="5">
      <c r="A5" s="5" t="s">
        <v>9</v>
      </c>
    </row>
    <row r="7">
      <c r="A7" s="6" t="s">
        <v>13</v>
      </c>
      <c r="B7" s="6" t="s">
        <v>15</v>
      </c>
      <c r="C7" s="6" t="s">
        <v>16</v>
      </c>
      <c r="D7" s="6" t="s">
        <v>17</v>
      </c>
      <c r="E7" s="6" t="s">
        <v>18</v>
      </c>
      <c r="F7" s="6" t="s">
        <v>19</v>
      </c>
      <c r="G7" s="6" t="s">
        <v>20</v>
      </c>
      <c r="H7" s="6" t="s">
        <v>21</v>
      </c>
      <c r="I7" s="6" t="s">
        <v>22</v>
      </c>
      <c r="J7" s="6" t="s">
        <v>23</v>
      </c>
      <c r="K7" s="6" t="s">
        <v>24</v>
      </c>
      <c r="L7" s="6" t="s">
        <v>25</v>
      </c>
      <c r="M7" s="6" t="s">
        <v>26</v>
      </c>
      <c r="N7" s="6" t="s">
        <v>27</v>
      </c>
      <c r="O7" s="6" t="s">
        <v>28</v>
      </c>
      <c r="P7" s="6" t="s">
        <v>29</v>
      </c>
      <c r="Q7" s="6" t="s">
        <v>30</v>
      </c>
    </row>
    <row r="8">
      <c r="A8" s="7">
        <v>1.0</v>
      </c>
      <c r="B8" s="7" t="s">
        <v>31</v>
      </c>
      <c r="C8" s="10">
        <f t="shared" ref="C8:C9" si="2">3+0+0+0</f>
        <v>3</v>
      </c>
      <c r="D8" s="10">
        <f>6+3+4+0</f>
        <v>13</v>
      </c>
      <c r="E8" s="10">
        <f t="shared" ref="E8:E10" si="3">C8+D8</f>
        <v>16</v>
      </c>
      <c r="F8" s="10">
        <f>6+1+14+0</f>
        <v>21</v>
      </c>
      <c r="G8" s="10">
        <f>4+0+2+2</f>
        <v>8</v>
      </c>
      <c r="H8" s="10">
        <f t="shared" ref="H8:H10" si="4">F8+G8</f>
        <v>29</v>
      </c>
      <c r="I8" s="10">
        <f t="shared" ref="I8:J8" si="1">C8+F8</f>
        <v>24</v>
      </c>
      <c r="J8" s="10">
        <f t="shared" si="1"/>
        <v>21</v>
      </c>
      <c r="K8" s="10">
        <f t="shared" ref="K8:K10" si="6">I8+J8</f>
        <v>45</v>
      </c>
      <c r="L8" s="7" t="s">
        <v>40</v>
      </c>
      <c r="M8" s="16">
        <f t="shared" ref="M8:M10" si="7">((P8/1000000)*0.4)+((Q8/1000000)*1.6)</f>
        <v>0.5595124</v>
      </c>
      <c r="N8" s="17">
        <f t="shared" ref="N8:N10" si="8">P8+Q8</f>
        <v>1287247</v>
      </c>
      <c r="O8" s="7">
        <v>84.0</v>
      </c>
      <c r="P8" s="17">
        <v>1250069.0</v>
      </c>
      <c r="Q8" s="17">
        <v>37178.0</v>
      </c>
    </row>
    <row r="9">
      <c r="A9" s="7">
        <v>2.0</v>
      </c>
      <c r="B9" s="7" t="s">
        <v>45</v>
      </c>
      <c r="C9" s="10">
        <f t="shared" si="2"/>
        <v>3</v>
      </c>
      <c r="D9" s="7">
        <v>0.0</v>
      </c>
      <c r="E9" s="10">
        <f t="shared" si="3"/>
        <v>3</v>
      </c>
      <c r="F9" s="10">
        <f>8+0+10+0</f>
        <v>18</v>
      </c>
      <c r="G9" s="7">
        <v>0.0</v>
      </c>
      <c r="H9" s="10">
        <f t="shared" si="4"/>
        <v>18</v>
      </c>
      <c r="I9" s="10">
        <f t="shared" ref="I9:J9" si="5">C9+F9</f>
        <v>21</v>
      </c>
      <c r="J9" s="10">
        <f t="shared" si="5"/>
        <v>0</v>
      </c>
      <c r="K9" s="10">
        <f t="shared" si="6"/>
        <v>21</v>
      </c>
      <c r="L9" s="7" t="s">
        <v>48</v>
      </c>
      <c r="M9" s="16">
        <f t="shared" si="7"/>
        <v>0.0906424</v>
      </c>
      <c r="N9" s="17">
        <f t="shared" si="8"/>
        <v>167176</v>
      </c>
      <c r="O9" s="7">
        <v>36.0</v>
      </c>
      <c r="P9" s="17">
        <v>147366.0</v>
      </c>
      <c r="Q9" s="17">
        <v>19810.0</v>
      </c>
    </row>
    <row r="10">
      <c r="A10" s="7">
        <v>3.0</v>
      </c>
      <c r="B10" s="7" t="s">
        <v>50</v>
      </c>
      <c r="C10" s="10">
        <f>1+0+0+0</f>
        <v>1</v>
      </c>
      <c r="D10" s="7">
        <v>0.0</v>
      </c>
      <c r="E10" s="10">
        <f t="shared" si="3"/>
        <v>1</v>
      </c>
      <c r="F10" s="10">
        <f>3+1+1+0</f>
        <v>5</v>
      </c>
      <c r="G10" s="7">
        <v>0.0</v>
      </c>
      <c r="H10" s="10">
        <f t="shared" si="4"/>
        <v>5</v>
      </c>
      <c r="I10" s="10">
        <f t="shared" ref="I10:J10" si="9">C10+F10</f>
        <v>6</v>
      </c>
      <c r="J10" s="10">
        <f t="shared" si="9"/>
        <v>0</v>
      </c>
      <c r="K10" s="10">
        <f t="shared" si="6"/>
        <v>6</v>
      </c>
      <c r="L10" s="7" t="s">
        <v>52</v>
      </c>
      <c r="M10" s="16">
        <f t="shared" si="7"/>
        <v>0.4091236</v>
      </c>
      <c r="N10" s="17">
        <f t="shared" si="8"/>
        <v>1007209</v>
      </c>
      <c r="O10" s="7">
        <v>33.0</v>
      </c>
      <c r="P10" s="17">
        <v>1002009.0</v>
      </c>
      <c r="Q10" s="17">
        <v>5200.0</v>
      </c>
    </row>
    <row r="12">
      <c r="A12" s="5" t="s">
        <v>53</v>
      </c>
    </row>
    <row r="13">
      <c r="A13" s="5"/>
    </row>
    <row r="14">
      <c r="A14" s="6" t="s">
        <v>13</v>
      </c>
      <c r="B14" s="6" t="s">
        <v>15</v>
      </c>
      <c r="C14" s="6" t="s">
        <v>16</v>
      </c>
      <c r="D14" s="6" t="s">
        <v>17</v>
      </c>
      <c r="E14" s="6" t="s">
        <v>18</v>
      </c>
      <c r="F14" s="6" t="s">
        <v>19</v>
      </c>
      <c r="G14" s="6" t="s">
        <v>20</v>
      </c>
      <c r="H14" s="6" t="s">
        <v>21</v>
      </c>
      <c r="I14" s="6" t="s">
        <v>22</v>
      </c>
      <c r="J14" s="6" t="s">
        <v>23</v>
      </c>
      <c r="K14" s="6" t="s">
        <v>24</v>
      </c>
      <c r="L14" s="6" t="s">
        <v>25</v>
      </c>
      <c r="M14" s="6" t="s">
        <v>26</v>
      </c>
      <c r="N14" s="6" t="s">
        <v>27</v>
      </c>
      <c r="O14" s="6" t="s">
        <v>28</v>
      </c>
      <c r="P14" s="6" t="s">
        <v>29</v>
      </c>
      <c r="Q14" s="6" t="s">
        <v>30</v>
      </c>
    </row>
    <row r="15">
      <c r="A15" s="7">
        <v>1.0</v>
      </c>
      <c r="B15" s="7" t="s">
        <v>31</v>
      </c>
      <c r="C15" s="7">
        <v>5.0</v>
      </c>
      <c r="D15" s="7">
        <v>21.0</v>
      </c>
      <c r="E15" s="10">
        <f t="shared" ref="E15:E17" si="11">C15+D15</f>
        <v>26</v>
      </c>
      <c r="F15" s="7">
        <v>29.0</v>
      </c>
      <c r="G15" s="7">
        <v>8.0</v>
      </c>
      <c r="H15" s="10">
        <f t="shared" ref="H15:H17" si="12">F15+G15</f>
        <v>37</v>
      </c>
      <c r="I15" s="10">
        <f t="shared" ref="I15:J15" si="10">F15+C15</f>
        <v>34</v>
      </c>
      <c r="J15" s="10">
        <f t="shared" si="10"/>
        <v>29</v>
      </c>
      <c r="K15" s="10">
        <f t="shared" ref="K15:K17" si="14">I15+J15</f>
        <v>63</v>
      </c>
      <c r="L15" s="7" t="s">
        <v>58</v>
      </c>
      <c r="M15" s="16">
        <f t="shared" ref="M15:M17" si="15">((P15/1000000)*0.28)+((Q15/1000000)*0.4)</f>
        <v>2.4390618</v>
      </c>
      <c r="N15" s="22">
        <f t="shared" ref="N15:N17" si="16">P15+Q15</f>
        <v>8667177</v>
      </c>
      <c r="O15" s="7">
        <v>93.0</v>
      </c>
      <c r="P15" s="17">
        <v>8565075.0</v>
      </c>
      <c r="Q15" s="17">
        <v>102102.0</v>
      </c>
    </row>
    <row r="16">
      <c r="A16" s="7">
        <v>2.0</v>
      </c>
      <c r="B16" s="7" t="s">
        <v>45</v>
      </c>
      <c r="C16" s="7">
        <v>3.0</v>
      </c>
      <c r="D16" s="7">
        <v>0.0</v>
      </c>
      <c r="E16" s="10">
        <f t="shared" si="11"/>
        <v>3</v>
      </c>
      <c r="F16" s="7">
        <v>28.0</v>
      </c>
      <c r="G16" s="7">
        <v>0.0</v>
      </c>
      <c r="H16" s="10">
        <f t="shared" si="12"/>
        <v>28</v>
      </c>
      <c r="I16" s="10">
        <f t="shared" ref="I16:J16" si="13">F16+C16</f>
        <v>31</v>
      </c>
      <c r="J16" s="10">
        <f t="shared" si="13"/>
        <v>0</v>
      </c>
      <c r="K16" s="10">
        <f t="shared" si="14"/>
        <v>31</v>
      </c>
      <c r="L16" s="7" t="s">
        <v>63</v>
      </c>
      <c r="M16" s="16">
        <f t="shared" si="15"/>
        <v>0.30701028</v>
      </c>
      <c r="N16" s="17">
        <f t="shared" si="16"/>
        <v>1039926</v>
      </c>
      <c r="O16" s="7">
        <v>44.0</v>
      </c>
      <c r="P16" s="17">
        <v>908001.0</v>
      </c>
      <c r="Q16" s="17">
        <v>131925.0</v>
      </c>
    </row>
    <row r="17">
      <c r="A17" s="7">
        <v>3.0</v>
      </c>
      <c r="B17" s="7" t="s">
        <v>50</v>
      </c>
      <c r="C17" s="7">
        <v>0.0</v>
      </c>
      <c r="D17" s="7">
        <v>0.0</v>
      </c>
      <c r="E17" s="10">
        <f t="shared" si="11"/>
        <v>0</v>
      </c>
      <c r="F17" s="7">
        <v>1.0</v>
      </c>
      <c r="G17" s="7">
        <v>0.0</v>
      </c>
      <c r="H17" s="10">
        <f t="shared" si="12"/>
        <v>1</v>
      </c>
      <c r="I17" s="10">
        <f t="shared" ref="I17:J17" si="17">F17+C17</f>
        <v>1</v>
      </c>
      <c r="J17" s="10">
        <f t="shared" si="17"/>
        <v>0</v>
      </c>
      <c r="K17" s="10">
        <f t="shared" si="14"/>
        <v>1</v>
      </c>
      <c r="L17" s="7" t="s">
        <v>67</v>
      </c>
      <c r="M17" s="16">
        <f t="shared" si="15"/>
        <v>1.04955572</v>
      </c>
      <c r="N17" s="22">
        <f t="shared" si="16"/>
        <v>3738206</v>
      </c>
      <c r="O17" s="7">
        <v>14.0</v>
      </c>
      <c r="P17" s="17">
        <v>3714389.0</v>
      </c>
      <c r="Q17" s="17">
        <v>23817.0</v>
      </c>
    </row>
    <row r="18">
      <c r="A18" s="7"/>
      <c r="B18" s="7"/>
      <c r="C18" s="24"/>
      <c r="D18" s="7"/>
      <c r="E18" s="7"/>
    </row>
    <row r="19">
      <c r="A19" s="6" t="s">
        <v>71</v>
      </c>
      <c r="B19" s="7"/>
      <c r="C19" s="24"/>
      <c r="D19" s="7"/>
      <c r="E19" s="7"/>
    </row>
    <row r="20">
      <c r="A20" s="7"/>
      <c r="B20" s="7"/>
      <c r="C20" s="24"/>
      <c r="D20" s="7"/>
      <c r="E20" s="7"/>
    </row>
    <row r="21">
      <c r="A21" s="6" t="s">
        <v>13</v>
      </c>
      <c r="B21" s="6" t="s">
        <v>15</v>
      </c>
      <c r="C21" s="6" t="s">
        <v>16</v>
      </c>
      <c r="D21" s="6" t="s">
        <v>17</v>
      </c>
      <c r="E21" s="6" t="s">
        <v>18</v>
      </c>
      <c r="F21" s="6" t="s">
        <v>19</v>
      </c>
      <c r="G21" s="6" t="s">
        <v>20</v>
      </c>
      <c r="H21" s="6" t="s">
        <v>21</v>
      </c>
      <c r="I21" s="6" t="s">
        <v>22</v>
      </c>
      <c r="J21" s="6" t="s">
        <v>23</v>
      </c>
      <c r="K21" s="6" t="s">
        <v>24</v>
      </c>
      <c r="L21" s="6" t="s">
        <v>25</v>
      </c>
      <c r="M21" s="6" t="s">
        <v>26</v>
      </c>
      <c r="N21" s="6" t="s">
        <v>27</v>
      </c>
      <c r="O21" s="6" t="s">
        <v>28</v>
      </c>
      <c r="P21" s="6" t="s">
        <v>29</v>
      </c>
      <c r="Q21" s="6" t="s">
        <v>30</v>
      </c>
    </row>
    <row r="22">
      <c r="A22" s="7">
        <v>1.0</v>
      </c>
      <c r="B22" s="7" t="s">
        <v>31</v>
      </c>
      <c r="C22" s="7">
        <v>3.0</v>
      </c>
      <c r="D22" s="7">
        <v>22.0</v>
      </c>
      <c r="E22" s="10">
        <f t="shared" ref="E22:E24" si="19">C22+D22</f>
        <v>25</v>
      </c>
      <c r="F22" s="7">
        <v>17.0</v>
      </c>
      <c r="G22" s="7">
        <v>4.0</v>
      </c>
      <c r="H22" s="10">
        <f t="shared" ref="H22:H24" si="20">F22+G22</f>
        <v>21</v>
      </c>
      <c r="I22" s="10">
        <f t="shared" ref="I22:J22" si="18">C22+F22</f>
        <v>20</v>
      </c>
      <c r="J22" s="7">
        <f t="shared" si="18"/>
        <v>26</v>
      </c>
      <c r="K22" s="10">
        <f t="shared" ref="K22:K24" si="22">J22+I22</f>
        <v>46</v>
      </c>
      <c r="L22" s="7" t="s">
        <v>78</v>
      </c>
      <c r="M22" s="10">
        <f t="shared" ref="M22:M24" si="23">((P22/1000000)*0.6)+((Q22/1000000)*3)</f>
        <v>0.9140562</v>
      </c>
      <c r="N22" s="22">
        <f t="shared" ref="N22:N24" si="24">P22+Q22</f>
        <v>1285523</v>
      </c>
      <c r="O22" s="7">
        <v>53.0</v>
      </c>
      <c r="P22" s="28">
        <v>1226047.0</v>
      </c>
      <c r="Q22" s="28">
        <v>59476.0</v>
      </c>
    </row>
    <row r="23">
      <c r="A23" s="7">
        <v>2.0</v>
      </c>
      <c r="B23" s="7" t="s">
        <v>45</v>
      </c>
      <c r="C23" s="7">
        <v>2.0</v>
      </c>
      <c r="D23" s="7">
        <v>0.0</v>
      </c>
      <c r="E23" s="10">
        <f t="shared" si="19"/>
        <v>2</v>
      </c>
      <c r="F23" s="7">
        <v>17.0</v>
      </c>
      <c r="G23" s="7">
        <v>0.0</v>
      </c>
      <c r="H23" s="10">
        <f t="shared" si="20"/>
        <v>17</v>
      </c>
      <c r="I23" s="10">
        <f t="shared" ref="I23:J23" si="21">C23+F23</f>
        <v>19</v>
      </c>
      <c r="J23" s="7">
        <f t="shared" si="21"/>
        <v>0</v>
      </c>
      <c r="K23" s="10">
        <f t="shared" si="22"/>
        <v>19</v>
      </c>
      <c r="L23" s="7" t="s">
        <v>82</v>
      </c>
      <c r="M23" s="10">
        <f t="shared" si="23"/>
        <v>0.365214</v>
      </c>
      <c r="N23" s="22">
        <f t="shared" si="24"/>
        <v>592602</v>
      </c>
      <c r="O23" s="7">
        <v>27.0</v>
      </c>
      <c r="P23" s="17">
        <v>588580.0</v>
      </c>
      <c r="Q23" s="17">
        <v>4022.0</v>
      </c>
    </row>
    <row r="24">
      <c r="A24" s="7">
        <v>3.0</v>
      </c>
      <c r="B24" s="7" t="s">
        <v>50</v>
      </c>
      <c r="C24" s="7">
        <v>2.0</v>
      </c>
      <c r="D24" s="7">
        <v>0.0</v>
      </c>
      <c r="E24" s="10">
        <f t="shared" si="19"/>
        <v>2</v>
      </c>
      <c r="F24" s="7">
        <v>4.0</v>
      </c>
      <c r="G24" s="7">
        <v>0.0</v>
      </c>
      <c r="H24" s="10">
        <f t="shared" si="20"/>
        <v>4</v>
      </c>
      <c r="I24" s="10">
        <f t="shared" ref="I24:J24" si="25">C24+F24</f>
        <v>6</v>
      </c>
      <c r="J24" s="7">
        <f t="shared" si="25"/>
        <v>0</v>
      </c>
      <c r="K24" s="10">
        <f t="shared" si="22"/>
        <v>6</v>
      </c>
      <c r="L24" s="7" t="s">
        <v>87</v>
      </c>
      <c r="M24" s="10">
        <f t="shared" si="23"/>
        <v>0.6554874</v>
      </c>
      <c r="N24" s="22">
        <f t="shared" si="24"/>
        <v>1065259</v>
      </c>
      <c r="O24" s="7">
        <v>29.0</v>
      </c>
      <c r="P24" s="17">
        <v>1058454.0</v>
      </c>
      <c r="Q24" s="17">
        <v>6805.0</v>
      </c>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8">
      <c r="A28" s="29" t="s">
        <v>89</v>
      </c>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1"/>
      <c r="B29" s="31"/>
    </row>
    <row r="30">
      <c r="A30" s="32" t="s">
        <v>92</v>
      </c>
      <c r="B30" s="33" t="s">
        <v>93</v>
      </c>
    </row>
    <row r="31">
      <c r="A31" s="6" t="s">
        <v>13</v>
      </c>
      <c r="B31" s="6" t="s">
        <v>97</v>
      </c>
      <c r="C31" s="6" t="s">
        <v>98</v>
      </c>
      <c r="D31" s="6" t="s">
        <v>99</v>
      </c>
      <c r="E31" s="6" t="s">
        <v>100</v>
      </c>
      <c r="F31" s="6" t="s">
        <v>101</v>
      </c>
      <c r="G31" s="6" t="s">
        <v>102</v>
      </c>
      <c r="H31" s="6" t="s">
        <v>103</v>
      </c>
      <c r="I31" s="13" t="s">
        <v>24</v>
      </c>
      <c r="L31" s="13"/>
      <c r="P31" s="13"/>
      <c r="Q31" s="13"/>
    </row>
    <row r="32" ht="28.5" customHeight="1">
      <c r="I32" s="13" t="s">
        <v>108</v>
      </c>
      <c r="J32" s="13" t="s">
        <v>104</v>
      </c>
      <c r="K32" s="13" t="s">
        <v>109</v>
      </c>
      <c r="L32" s="6"/>
    </row>
    <row r="33">
      <c r="A33" s="2">
        <v>1.0</v>
      </c>
      <c r="B33" s="34" t="s">
        <v>112</v>
      </c>
      <c r="C33" s="35" t="s">
        <v>114</v>
      </c>
      <c r="D33" s="36">
        <v>743.0</v>
      </c>
      <c r="E33" s="37" t="s">
        <v>116</v>
      </c>
      <c r="F33" s="37">
        <v>1.0</v>
      </c>
      <c r="G33" s="37">
        <v>2.0</v>
      </c>
      <c r="H33" s="37">
        <v>3.0</v>
      </c>
      <c r="I33" s="2">
        <v>1.0</v>
      </c>
      <c r="J33" s="2">
        <v>2.0</v>
      </c>
      <c r="K33" s="2">
        <v>2.0</v>
      </c>
    </row>
    <row r="34">
      <c r="A34" s="2">
        <v>2.0</v>
      </c>
      <c r="B34" s="34" t="s">
        <v>118</v>
      </c>
      <c r="C34" s="38" t="s">
        <v>119</v>
      </c>
      <c r="D34" s="39" t="s">
        <v>121</v>
      </c>
      <c r="E34" s="39" t="s">
        <v>122</v>
      </c>
      <c r="F34" s="39">
        <v>0.0</v>
      </c>
      <c r="G34" s="39">
        <v>1.0</v>
      </c>
      <c r="H34" s="39">
        <v>1.0</v>
      </c>
      <c r="I34" s="2">
        <v>0.0</v>
      </c>
      <c r="J34" s="2">
        <v>0.0</v>
      </c>
      <c r="K34" s="2">
        <v>0.0</v>
      </c>
    </row>
    <row r="35">
      <c r="A35" s="2">
        <v>3.0</v>
      </c>
      <c r="B35" s="34" t="s">
        <v>123</v>
      </c>
      <c r="C35" s="35" t="s">
        <v>124</v>
      </c>
      <c r="D35" s="37" t="s">
        <v>127</v>
      </c>
      <c r="E35" s="37" t="s">
        <v>116</v>
      </c>
      <c r="F35" s="37">
        <v>10.0</v>
      </c>
      <c r="G35" s="37">
        <v>19.0</v>
      </c>
      <c r="H35" s="37">
        <v>29.0</v>
      </c>
      <c r="I35" s="2">
        <v>15.0</v>
      </c>
      <c r="J35" s="2">
        <v>15.0</v>
      </c>
      <c r="K35" s="2">
        <v>10.0</v>
      </c>
    </row>
    <row r="36">
      <c r="A36" s="2">
        <v>4.0</v>
      </c>
      <c r="B36" s="34" t="s">
        <v>128</v>
      </c>
      <c r="C36" s="38" t="s">
        <v>129</v>
      </c>
      <c r="D36" s="39" t="s">
        <v>132</v>
      </c>
      <c r="E36" s="39" t="s">
        <v>122</v>
      </c>
      <c r="F36" s="39">
        <v>28.0</v>
      </c>
      <c r="G36" s="39">
        <v>21.0</v>
      </c>
      <c r="H36" s="39">
        <v>49.0</v>
      </c>
      <c r="I36" s="2">
        <v>12.0</v>
      </c>
      <c r="J36" s="2">
        <v>15.0</v>
      </c>
      <c r="K36" s="2">
        <v>4.0</v>
      </c>
    </row>
    <row r="37">
      <c r="A37" s="2">
        <v>5.0</v>
      </c>
      <c r="B37" s="34" t="s">
        <v>134</v>
      </c>
      <c r="C37" s="35" t="s">
        <v>136</v>
      </c>
      <c r="D37" s="37" t="s">
        <v>137</v>
      </c>
      <c r="E37" s="37" t="s">
        <v>116</v>
      </c>
      <c r="F37" s="37">
        <v>1.0</v>
      </c>
      <c r="G37" s="37">
        <v>0.0</v>
      </c>
      <c r="H37" s="37">
        <v>1.0</v>
      </c>
      <c r="I37" s="2">
        <v>1.0</v>
      </c>
      <c r="J37" s="2">
        <v>0.0</v>
      </c>
      <c r="K37" s="2">
        <v>1.0</v>
      </c>
    </row>
    <row r="38">
      <c r="A38" s="2">
        <v>6.0</v>
      </c>
      <c r="B38" s="34" t="s">
        <v>139</v>
      </c>
      <c r="C38" s="38" t="s">
        <v>140</v>
      </c>
      <c r="D38" s="39" t="s">
        <v>127</v>
      </c>
      <c r="E38" s="39" t="s">
        <v>116</v>
      </c>
      <c r="F38" s="39">
        <v>0.0</v>
      </c>
      <c r="G38" s="39">
        <v>3.0</v>
      </c>
      <c r="H38" s="39">
        <v>3.0</v>
      </c>
      <c r="I38" s="2">
        <v>0.0</v>
      </c>
      <c r="J38" s="2">
        <v>0.0</v>
      </c>
      <c r="K38" s="2">
        <v>0.0</v>
      </c>
    </row>
    <row r="39">
      <c r="A39" s="2">
        <v>7.0</v>
      </c>
      <c r="B39" s="34" t="s">
        <v>144</v>
      </c>
      <c r="C39" s="35" t="s">
        <v>145</v>
      </c>
      <c r="D39" s="37" t="s">
        <v>147</v>
      </c>
      <c r="E39" s="37" t="s">
        <v>122</v>
      </c>
      <c r="F39" s="37">
        <v>11.0</v>
      </c>
      <c r="G39" s="37">
        <v>2.0</v>
      </c>
      <c r="H39" s="37">
        <v>13.0</v>
      </c>
      <c r="I39" s="2">
        <v>0.0</v>
      </c>
      <c r="J39" s="2">
        <v>5.0</v>
      </c>
      <c r="K39" s="2">
        <v>4.0</v>
      </c>
    </row>
    <row r="40">
      <c r="A40" s="2">
        <v>8.0</v>
      </c>
      <c r="B40" s="34" t="s">
        <v>148</v>
      </c>
      <c r="C40" s="38" t="s">
        <v>149</v>
      </c>
      <c r="D40" s="39" t="s">
        <v>151</v>
      </c>
      <c r="E40" s="39" t="s">
        <v>122</v>
      </c>
      <c r="F40" s="39">
        <v>9.0</v>
      </c>
      <c r="G40" s="39">
        <v>2.0</v>
      </c>
      <c r="H40" s="39">
        <v>11.0</v>
      </c>
      <c r="I40" s="2">
        <v>0.0</v>
      </c>
      <c r="J40" s="2">
        <v>0.0</v>
      </c>
      <c r="K40" s="2">
        <v>0.0</v>
      </c>
    </row>
    <row r="41">
      <c r="A41" s="2">
        <v>9.0</v>
      </c>
      <c r="B41" s="34" t="s">
        <v>154</v>
      </c>
      <c r="C41" s="35" t="s">
        <v>155</v>
      </c>
      <c r="D41" s="37" t="s">
        <v>159</v>
      </c>
      <c r="E41" s="37" t="s">
        <v>122</v>
      </c>
      <c r="F41" s="37">
        <v>7.0</v>
      </c>
      <c r="G41" s="37">
        <v>5.0</v>
      </c>
      <c r="H41" s="37">
        <v>12.0</v>
      </c>
      <c r="I41" s="2">
        <v>0.0</v>
      </c>
      <c r="J41" s="2">
        <v>0.0</v>
      </c>
      <c r="K41" s="2">
        <v>0.0</v>
      </c>
    </row>
    <row r="42">
      <c r="A42" s="2">
        <v>10.0</v>
      </c>
      <c r="B42" s="34" t="s">
        <v>161</v>
      </c>
      <c r="C42" s="38" t="s">
        <v>162</v>
      </c>
      <c r="D42" s="39" t="s">
        <v>165</v>
      </c>
      <c r="E42" s="39" t="s">
        <v>116</v>
      </c>
      <c r="F42" s="39">
        <v>11.0</v>
      </c>
      <c r="G42" s="39">
        <v>0.0</v>
      </c>
      <c r="H42" s="39">
        <v>11.0</v>
      </c>
      <c r="I42" s="2">
        <v>0.0</v>
      </c>
      <c r="J42" s="2">
        <v>0.0</v>
      </c>
      <c r="K42" s="2">
        <v>0.0</v>
      </c>
    </row>
    <row r="43">
      <c r="A43" s="2">
        <v>11.0</v>
      </c>
      <c r="B43" s="41" t="s">
        <v>167</v>
      </c>
      <c r="C43" s="42" t="s">
        <v>168</v>
      </c>
      <c r="D43" s="43" t="s">
        <v>171</v>
      </c>
      <c r="E43" s="43" t="s">
        <v>172</v>
      </c>
      <c r="F43" s="37">
        <v>10.0</v>
      </c>
      <c r="G43" s="37">
        <v>3.0</v>
      </c>
      <c r="H43" s="37">
        <v>13.0</v>
      </c>
      <c r="I43" s="2">
        <v>0.0</v>
      </c>
      <c r="J43" s="2">
        <v>2.0</v>
      </c>
      <c r="K43" s="2">
        <v>0.0</v>
      </c>
    </row>
    <row r="44">
      <c r="A44" s="2">
        <v>12.0</v>
      </c>
      <c r="B44" s="44" t="s">
        <v>174</v>
      </c>
      <c r="C44" s="46" t="s">
        <v>175</v>
      </c>
      <c r="D44" s="47" t="s">
        <v>180</v>
      </c>
      <c r="E44" s="47" t="s">
        <v>122</v>
      </c>
      <c r="F44" s="39">
        <v>0.0</v>
      </c>
      <c r="G44" s="39">
        <v>21.0</v>
      </c>
      <c r="H44" s="39">
        <v>21.0</v>
      </c>
      <c r="I44" s="2">
        <v>6.0</v>
      </c>
      <c r="J44" s="2">
        <v>9.0</v>
      </c>
      <c r="K44" s="2">
        <v>10.0</v>
      </c>
    </row>
    <row r="45">
      <c r="A45" s="2">
        <v>13.0</v>
      </c>
      <c r="B45" s="41" t="s">
        <v>181</v>
      </c>
      <c r="C45" s="42" t="s">
        <v>183</v>
      </c>
      <c r="D45" s="48">
        <v>126.0</v>
      </c>
      <c r="E45" s="43" t="s">
        <v>116</v>
      </c>
      <c r="F45" s="37">
        <v>0.0</v>
      </c>
      <c r="G45" s="37">
        <v>2.0</v>
      </c>
      <c r="H45" s="37">
        <v>2.0</v>
      </c>
      <c r="I45" s="2">
        <v>0.0</v>
      </c>
      <c r="J45" s="2">
        <v>0.0</v>
      </c>
      <c r="K45" s="2">
        <v>0.0</v>
      </c>
    </row>
    <row r="46">
      <c r="A46" s="2">
        <v>14.0</v>
      </c>
      <c r="B46" s="44" t="s">
        <v>187</v>
      </c>
      <c r="C46" s="46" t="s">
        <v>188</v>
      </c>
      <c r="D46" s="47" t="s">
        <v>190</v>
      </c>
      <c r="E46" s="47" t="s">
        <v>191</v>
      </c>
      <c r="F46" s="39">
        <v>0.0</v>
      </c>
      <c r="G46" s="39">
        <v>1.0</v>
      </c>
      <c r="H46" s="39">
        <v>1.0</v>
      </c>
      <c r="I46" s="2">
        <v>0.0</v>
      </c>
      <c r="J46" s="2">
        <v>0.0</v>
      </c>
      <c r="K46" s="2">
        <v>0.0</v>
      </c>
    </row>
    <row r="47">
      <c r="A47" s="2">
        <v>15.0</v>
      </c>
      <c r="B47" s="41" t="s">
        <v>193</v>
      </c>
      <c r="C47" s="42" t="s">
        <v>194</v>
      </c>
      <c r="D47" s="43" t="s">
        <v>196</v>
      </c>
      <c r="E47" s="43" t="s">
        <v>198</v>
      </c>
      <c r="F47" s="37">
        <v>1.0</v>
      </c>
      <c r="G47" s="37">
        <v>4.0</v>
      </c>
      <c r="H47" s="37">
        <v>5.0</v>
      </c>
      <c r="I47" s="2">
        <v>0.0</v>
      </c>
      <c r="J47" s="2">
        <v>0.0</v>
      </c>
      <c r="K47" s="2">
        <v>0.0</v>
      </c>
    </row>
    <row r="48">
      <c r="A48" s="2">
        <v>16.0</v>
      </c>
      <c r="B48" s="44" t="s">
        <v>199</v>
      </c>
      <c r="C48" s="46" t="s">
        <v>200</v>
      </c>
      <c r="D48" s="47" t="s">
        <v>203</v>
      </c>
      <c r="E48" s="47" t="s">
        <v>116</v>
      </c>
      <c r="F48" s="39">
        <v>1.0</v>
      </c>
      <c r="G48" s="39">
        <v>6.0</v>
      </c>
      <c r="H48" s="39">
        <v>7.0</v>
      </c>
      <c r="I48" s="2">
        <v>5.0</v>
      </c>
      <c r="J48" s="2">
        <v>7.0</v>
      </c>
      <c r="K48" s="2">
        <v>5.0</v>
      </c>
    </row>
    <row r="49">
      <c r="A49" s="2">
        <v>17.0</v>
      </c>
      <c r="B49" s="41" t="s">
        <v>205</v>
      </c>
      <c r="C49" s="42" t="s">
        <v>207</v>
      </c>
      <c r="D49" s="43" t="s">
        <v>208</v>
      </c>
      <c r="E49" s="43" t="s">
        <v>116</v>
      </c>
      <c r="F49" s="37">
        <v>0.0</v>
      </c>
      <c r="G49" s="37">
        <v>5.0</v>
      </c>
      <c r="H49" s="37">
        <v>5.0</v>
      </c>
      <c r="I49" s="2">
        <v>0.0</v>
      </c>
      <c r="J49" s="2">
        <v>0.0</v>
      </c>
      <c r="K49" s="2">
        <v>0.0</v>
      </c>
    </row>
    <row r="50">
      <c r="A50" s="2">
        <v>18.0</v>
      </c>
      <c r="B50" s="44" t="s">
        <v>209</v>
      </c>
      <c r="C50" s="46" t="s">
        <v>210</v>
      </c>
      <c r="D50" s="47" t="s">
        <v>219</v>
      </c>
      <c r="E50" s="47" t="s">
        <v>122</v>
      </c>
      <c r="F50" s="39">
        <v>9.0</v>
      </c>
      <c r="G50" s="39">
        <v>10.0</v>
      </c>
      <c r="H50" s="39">
        <v>19.0</v>
      </c>
      <c r="I50" s="2">
        <v>5.0</v>
      </c>
      <c r="J50" s="2">
        <v>7.0</v>
      </c>
      <c r="K50" s="2">
        <v>9.0</v>
      </c>
    </row>
    <row r="51">
      <c r="A51" s="2">
        <v>19.0</v>
      </c>
      <c r="B51" s="41" t="s">
        <v>225</v>
      </c>
      <c r="C51" s="42" t="s">
        <v>227</v>
      </c>
      <c r="D51" s="43" t="s">
        <v>165</v>
      </c>
      <c r="E51" s="43" t="s">
        <v>116</v>
      </c>
      <c r="F51" s="37">
        <v>0.0</v>
      </c>
      <c r="G51" s="37">
        <v>12.0</v>
      </c>
      <c r="H51" s="37">
        <v>12.0</v>
      </c>
      <c r="I51" s="2">
        <v>0.0</v>
      </c>
      <c r="J51" s="2">
        <v>1.0</v>
      </c>
      <c r="K51" s="2">
        <v>1.0</v>
      </c>
    </row>
    <row r="52">
      <c r="A52" s="2">
        <v>20.0</v>
      </c>
      <c r="B52" s="44" t="s">
        <v>236</v>
      </c>
      <c r="C52" s="50" t="s">
        <v>237</v>
      </c>
      <c r="D52" s="47" t="s">
        <v>245</v>
      </c>
      <c r="E52" s="47" t="s">
        <v>116</v>
      </c>
      <c r="F52" s="39">
        <v>7.0</v>
      </c>
      <c r="G52" s="39">
        <v>0.0</v>
      </c>
      <c r="H52" s="39">
        <v>7.0</v>
      </c>
      <c r="I52" s="2">
        <v>0.0</v>
      </c>
      <c r="J52" s="2">
        <v>0.0</v>
      </c>
      <c r="K52" s="2">
        <v>0.0</v>
      </c>
    </row>
    <row r="53">
      <c r="B53" s="52" t="s">
        <v>252</v>
      </c>
      <c r="F53" s="53">
        <f t="shared" ref="F53:K53" si="26">SUM(F33:F52)</f>
        <v>106</v>
      </c>
      <c r="G53" s="53">
        <f t="shared" si="26"/>
        <v>119</v>
      </c>
      <c r="H53" s="53">
        <f t="shared" si="26"/>
        <v>225</v>
      </c>
      <c r="I53" s="54">
        <f t="shared" si="26"/>
        <v>45</v>
      </c>
      <c r="J53" s="54">
        <f t="shared" si="26"/>
        <v>63</v>
      </c>
      <c r="K53" s="54">
        <f t="shared" si="26"/>
        <v>46</v>
      </c>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7">
      <c r="A57" s="55" t="s">
        <v>275</v>
      </c>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9">
      <c r="A59" s="5" t="s">
        <v>13</v>
      </c>
      <c r="B59" s="5" t="s">
        <v>279</v>
      </c>
      <c r="C59" s="6" t="s">
        <v>280</v>
      </c>
      <c r="D59" s="6" t="s">
        <v>281</v>
      </c>
      <c r="E59" s="6" t="s">
        <v>24</v>
      </c>
      <c r="F59" s="5" t="s">
        <v>282</v>
      </c>
    </row>
    <row r="60">
      <c r="A60" s="2">
        <v>1.0</v>
      </c>
      <c r="B60" s="7" t="s">
        <v>248</v>
      </c>
      <c r="C60" s="2">
        <v>0.0</v>
      </c>
      <c r="D60" s="2">
        <v>4.0</v>
      </c>
      <c r="E60" s="2">
        <v>4.0</v>
      </c>
      <c r="F60" s="51">
        <f t="shared" ref="F60:F67" si="27">E60/225</f>
        <v>0.01777777778</v>
      </c>
      <c r="H60" s="51"/>
    </row>
    <row r="61">
      <c r="A61" s="2">
        <v>2.0</v>
      </c>
      <c r="B61" s="7" t="s">
        <v>253</v>
      </c>
      <c r="C61" s="2">
        <v>6.0</v>
      </c>
      <c r="D61" s="2">
        <v>7.0</v>
      </c>
      <c r="E61" s="2">
        <v>13.0</v>
      </c>
      <c r="F61" s="51">
        <f t="shared" si="27"/>
        <v>0.05777777778</v>
      </c>
    </row>
    <row r="62">
      <c r="A62" s="2">
        <v>3.0</v>
      </c>
      <c r="B62" s="7" t="s">
        <v>257</v>
      </c>
      <c r="C62" s="2">
        <v>0.0</v>
      </c>
      <c r="D62" s="2">
        <v>3.0</v>
      </c>
      <c r="E62" s="2">
        <v>3.0</v>
      </c>
      <c r="F62" s="51">
        <f t="shared" si="27"/>
        <v>0.01333333333</v>
      </c>
    </row>
    <row r="63">
      <c r="A63" s="2">
        <v>4.0</v>
      </c>
      <c r="B63" s="7" t="s">
        <v>262</v>
      </c>
      <c r="C63" s="2">
        <v>9.0</v>
      </c>
      <c r="D63" s="2">
        <v>3.0</v>
      </c>
      <c r="E63" s="2">
        <v>12.0</v>
      </c>
      <c r="F63" s="51">
        <f t="shared" si="27"/>
        <v>0.05333333333</v>
      </c>
    </row>
    <row r="64">
      <c r="A64" s="2">
        <v>5.0</v>
      </c>
      <c r="B64" s="7" t="s">
        <v>229</v>
      </c>
      <c r="C64" s="2">
        <v>0.0</v>
      </c>
      <c r="D64" s="2">
        <v>5.0</v>
      </c>
      <c r="E64" s="2">
        <v>5.0</v>
      </c>
      <c r="F64" s="51">
        <f t="shared" si="27"/>
        <v>0.02222222222</v>
      </c>
    </row>
    <row r="65">
      <c r="A65" s="2">
        <v>6.0</v>
      </c>
      <c r="B65" s="7" t="s">
        <v>238</v>
      </c>
      <c r="C65" s="2">
        <v>5.0</v>
      </c>
      <c r="D65" s="2">
        <v>9.0</v>
      </c>
      <c r="E65" s="2">
        <v>14.0</v>
      </c>
      <c r="F65" s="51">
        <f t="shared" si="27"/>
        <v>0.06222222222</v>
      </c>
    </row>
    <row r="66">
      <c r="A66" s="2">
        <v>7.0</v>
      </c>
      <c r="B66" s="7" t="s">
        <v>254</v>
      </c>
      <c r="C66" s="2">
        <v>14.0</v>
      </c>
      <c r="D66" s="2">
        <v>10.0</v>
      </c>
      <c r="E66" s="2">
        <v>24.0</v>
      </c>
      <c r="F66" s="51">
        <f t="shared" si="27"/>
        <v>0.1066666667</v>
      </c>
    </row>
    <row r="67">
      <c r="B67" s="57" t="s">
        <v>252</v>
      </c>
      <c r="E67" s="15">
        <f>SUM(E60:E66)</f>
        <v>75</v>
      </c>
      <c r="F67" s="51">
        <f t="shared" si="27"/>
        <v>0.3333333333</v>
      </c>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1">
      <c r="A71" s="58" t="s">
        <v>305</v>
      </c>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3">
      <c r="A73" s="5" t="s">
        <v>13</v>
      </c>
      <c r="B73" s="5" t="s">
        <v>97</v>
      </c>
      <c r="C73" s="5" t="s">
        <v>24</v>
      </c>
    </row>
    <row r="74">
      <c r="A74" s="2">
        <v>1.0</v>
      </c>
      <c r="B74" s="60" t="s">
        <v>209</v>
      </c>
      <c r="C74" s="2">
        <v>10.0</v>
      </c>
    </row>
    <row r="75">
      <c r="A75" s="2">
        <v>2.0</v>
      </c>
      <c r="B75" s="60" t="s">
        <v>174</v>
      </c>
      <c r="C75" s="2">
        <v>14.0</v>
      </c>
    </row>
    <row r="76">
      <c r="A76" s="2">
        <v>3.0</v>
      </c>
      <c r="B76" s="61" t="s">
        <v>123</v>
      </c>
      <c r="C76" s="2">
        <v>16.0</v>
      </c>
    </row>
    <row r="77">
      <c r="A77" s="2">
        <v>4.0</v>
      </c>
      <c r="B77" s="61" t="s">
        <v>112</v>
      </c>
      <c r="C77" s="2">
        <v>2.0</v>
      </c>
    </row>
    <row r="78">
      <c r="A78" s="2">
        <v>5.0</v>
      </c>
      <c r="B78" s="62" t="s">
        <v>225</v>
      </c>
      <c r="C78" s="2">
        <v>2.0</v>
      </c>
    </row>
    <row r="79">
      <c r="A79" s="2">
        <v>6.0</v>
      </c>
      <c r="B79" s="60" t="s">
        <v>199</v>
      </c>
      <c r="C79" s="2">
        <v>7.0</v>
      </c>
    </row>
    <row r="80">
      <c r="A80" s="2">
        <v>7.0</v>
      </c>
      <c r="B80" s="61" t="s">
        <v>134</v>
      </c>
      <c r="C80" s="2">
        <v>1.0</v>
      </c>
    </row>
    <row r="81">
      <c r="A81" s="2">
        <v>8.0</v>
      </c>
      <c r="B81" s="61" t="s">
        <v>128</v>
      </c>
      <c r="C81" s="2">
        <v>16.0</v>
      </c>
    </row>
    <row r="82">
      <c r="A82" s="2">
        <v>9.0</v>
      </c>
      <c r="B82" s="62" t="s">
        <v>167</v>
      </c>
      <c r="C82" s="2">
        <v>2.0</v>
      </c>
    </row>
    <row r="83">
      <c r="A83" s="2">
        <v>10.0</v>
      </c>
      <c r="B83" s="61" t="s">
        <v>144</v>
      </c>
      <c r="C83" s="2">
        <v>5.0</v>
      </c>
    </row>
    <row r="84">
      <c r="B84" s="57" t="s">
        <v>252</v>
      </c>
      <c r="C84" s="63">
        <f>SUM(C74:C83)</f>
        <v>75</v>
      </c>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8">
      <c r="A88" s="64" t="s">
        <v>333</v>
      </c>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90">
      <c r="A90" s="5" t="s">
        <v>337</v>
      </c>
      <c r="B90" s="5" t="s">
        <v>279</v>
      </c>
      <c r="C90" s="13" t="s">
        <v>24</v>
      </c>
    </row>
    <row r="91">
      <c r="C91" s="5" t="s">
        <v>45</v>
      </c>
      <c r="D91" s="5" t="s">
        <v>282</v>
      </c>
      <c r="E91" s="5" t="s">
        <v>50</v>
      </c>
      <c r="F91" s="5" t="s">
        <v>282</v>
      </c>
    </row>
    <row r="92">
      <c r="A92" s="2">
        <v>1.0</v>
      </c>
      <c r="B92" s="7" t="s">
        <v>248</v>
      </c>
      <c r="C92" s="2">
        <v>4.0</v>
      </c>
      <c r="D92" s="51">
        <f t="shared" ref="D92:D99" si="28">C92/225</f>
        <v>0.01777777778</v>
      </c>
      <c r="E92" s="2">
        <v>4.0</v>
      </c>
      <c r="F92" s="51">
        <f t="shared" ref="F92:F99" si="29">E92/225</f>
        <v>0.01777777778</v>
      </c>
    </row>
    <row r="93">
      <c r="A93" s="2">
        <v>2.0</v>
      </c>
      <c r="B93" s="7" t="s">
        <v>253</v>
      </c>
      <c r="C93" s="2">
        <v>9.0</v>
      </c>
      <c r="D93" s="51">
        <f t="shared" si="28"/>
        <v>0.04</v>
      </c>
      <c r="E93" s="2">
        <v>0.0</v>
      </c>
      <c r="F93" s="51">
        <f t="shared" si="29"/>
        <v>0</v>
      </c>
    </row>
    <row r="94">
      <c r="A94" s="2">
        <v>3.0</v>
      </c>
      <c r="B94" s="7" t="s">
        <v>257</v>
      </c>
      <c r="C94" s="2">
        <v>0.0</v>
      </c>
      <c r="D94" s="51">
        <f t="shared" si="28"/>
        <v>0</v>
      </c>
      <c r="E94" s="2">
        <v>3.0</v>
      </c>
      <c r="F94" s="51">
        <f t="shared" si="29"/>
        <v>0.01333333333</v>
      </c>
    </row>
    <row r="95">
      <c r="A95" s="2">
        <v>4.0</v>
      </c>
      <c r="B95" s="7" t="s">
        <v>262</v>
      </c>
      <c r="C95" s="2">
        <v>5.0</v>
      </c>
      <c r="D95" s="51">
        <f t="shared" si="28"/>
        <v>0.02222222222</v>
      </c>
      <c r="E95" s="2">
        <v>0.0</v>
      </c>
      <c r="F95" s="51">
        <f t="shared" si="29"/>
        <v>0</v>
      </c>
    </row>
    <row r="96">
      <c r="A96" s="2">
        <v>5.0</v>
      </c>
      <c r="B96" s="7" t="s">
        <v>229</v>
      </c>
      <c r="C96" s="2">
        <v>1.0</v>
      </c>
      <c r="D96" s="51">
        <f t="shared" si="28"/>
        <v>0.004444444444</v>
      </c>
      <c r="E96" s="2">
        <v>2.0</v>
      </c>
      <c r="F96" s="51">
        <f t="shared" si="29"/>
        <v>0.008888888889</v>
      </c>
    </row>
    <row r="97">
      <c r="A97" s="2">
        <v>6.0</v>
      </c>
      <c r="B97" s="7" t="s">
        <v>238</v>
      </c>
      <c r="C97" s="2">
        <v>6.0</v>
      </c>
      <c r="D97" s="51">
        <f t="shared" si="28"/>
        <v>0.02666666667</v>
      </c>
      <c r="E97" s="2">
        <v>1.0</v>
      </c>
      <c r="F97" s="51">
        <f t="shared" si="29"/>
        <v>0.004444444444</v>
      </c>
    </row>
    <row r="98">
      <c r="A98" s="2">
        <v>7.0</v>
      </c>
      <c r="B98" s="7" t="s">
        <v>254</v>
      </c>
      <c r="C98" s="2">
        <v>11.0</v>
      </c>
      <c r="D98" s="51">
        <f t="shared" si="28"/>
        <v>0.04888888889</v>
      </c>
      <c r="E98" s="2">
        <v>0.0</v>
      </c>
      <c r="F98" s="51">
        <f t="shared" si="29"/>
        <v>0</v>
      </c>
    </row>
    <row r="99">
      <c r="B99" s="57" t="s">
        <v>252</v>
      </c>
      <c r="C99" s="15">
        <f>SUM(C92:C98)</f>
        <v>36</v>
      </c>
      <c r="D99" s="51">
        <f t="shared" si="28"/>
        <v>0.16</v>
      </c>
      <c r="E99" s="15">
        <f>SUM(E92:E98)</f>
        <v>10</v>
      </c>
      <c r="F99" s="51">
        <f t="shared" si="29"/>
        <v>0.04444444444</v>
      </c>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7">
      <c r="A107" s="1" t="s">
        <v>373</v>
      </c>
    </row>
    <row r="109">
      <c r="A109" s="5" t="s">
        <v>376</v>
      </c>
      <c r="B109" s="2" t="s">
        <v>377</v>
      </c>
    </row>
    <row r="111">
      <c r="A111" s="6" t="s">
        <v>379</v>
      </c>
      <c r="B111" s="2">
        <v>114.0</v>
      </c>
    </row>
    <row r="112">
      <c r="A112" s="6" t="s">
        <v>380</v>
      </c>
      <c r="B112" s="2">
        <v>11.0</v>
      </c>
    </row>
    <row r="113">
      <c r="A113" s="6" t="s">
        <v>382</v>
      </c>
      <c r="B113" s="2">
        <v>125.0</v>
      </c>
    </row>
    <row r="115">
      <c r="A115" s="58" t="s">
        <v>384</v>
      </c>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7">
      <c r="A117" s="5" t="s">
        <v>13</v>
      </c>
      <c r="B117" s="5" t="s">
        <v>97</v>
      </c>
      <c r="C117" s="5" t="s">
        <v>24</v>
      </c>
    </row>
    <row r="118">
      <c r="A118" s="2">
        <v>1.0</v>
      </c>
      <c r="B118" s="60" t="s">
        <v>209</v>
      </c>
      <c r="C118" s="2">
        <v>1.0</v>
      </c>
    </row>
    <row r="119">
      <c r="A119" s="2">
        <v>2.0</v>
      </c>
      <c r="B119" s="60" t="s">
        <v>174</v>
      </c>
      <c r="C119" s="2">
        <v>1.0</v>
      </c>
    </row>
    <row r="120">
      <c r="A120" s="2">
        <v>3.0</v>
      </c>
      <c r="B120" s="61" t="s">
        <v>123</v>
      </c>
      <c r="C120" s="2">
        <v>34.0</v>
      </c>
    </row>
    <row r="121">
      <c r="A121" s="2">
        <v>4.0</v>
      </c>
      <c r="B121" s="61" t="s">
        <v>112</v>
      </c>
      <c r="C121" s="2">
        <v>1.0</v>
      </c>
    </row>
    <row r="122">
      <c r="A122" s="2">
        <v>5.0</v>
      </c>
      <c r="B122" s="60" t="s">
        <v>199</v>
      </c>
      <c r="C122" s="2">
        <v>1.0</v>
      </c>
    </row>
    <row r="123">
      <c r="A123" s="2">
        <v>6.0</v>
      </c>
      <c r="B123" s="61" t="s">
        <v>134</v>
      </c>
      <c r="C123" s="2">
        <v>79.0</v>
      </c>
    </row>
    <row r="124">
      <c r="A124" s="2">
        <v>7.0</v>
      </c>
      <c r="B124" s="61" t="s">
        <v>128</v>
      </c>
      <c r="C124" s="2">
        <v>8.0</v>
      </c>
    </row>
    <row r="125">
      <c r="B125" s="57" t="s">
        <v>252</v>
      </c>
      <c r="C125" s="63">
        <f>SUM(C118:C124)</f>
        <v>125</v>
      </c>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3">
      <c r="A133" s="1" t="s">
        <v>400</v>
      </c>
    </row>
    <row r="135">
      <c r="A135" s="67" t="s">
        <v>401</v>
      </c>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7">
      <c r="A137" s="6" t="s">
        <v>13</v>
      </c>
      <c r="B137" s="6" t="s">
        <v>407</v>
      </c>
      <c r="C137" s="6" t="s">
        <v>408</v>
      </c>
      <c r="D137" s="6" t="s">
        <v>0</v>
      </c>
      <c r="E137" s="6" t="s">
        <v>373</v>
      </c>
      <c r="F137" s="6" t="s">
        <v>45</v>
      </c>
      <c r="G137" s="6" t="s">
        <v>50</v>
      </c>
    </row>
    <row r="138">
      <c r="A138" s="2">
        <v>1.0</v>
      </c>
      <c r="B138" s="69" t="s">
        <v>250</v>
      </c>
      <c r="C138" s="69" t="s">
        <v>411</v>
      </c>
      <c r="D138" s="2">
        <v>22.0</v>
      </c>
      <c r="E138" s="2">
        <v>41.0</v>
      </c>
      <c r="F138" s="2">
        <v>14.0</v>
      </c>
      <c r="G138" s="2">
        <v>5.0</v>
      </c>
    </row>
    <row r="139">
      <c r="A139" s="2">
        <v>2.0</v>
      </c>
      <c r="B139" s="69" t="s">
        <v>260</v>
      </c>
      <c r="C139" s="69" t="s">
        <v>413</v>
      </c>
      <c r="D139" s="2">
        <v>27.0</v>
      </c>
      <c r="E139" s="2">
        <v>34.0</v>
      </c>
      <c r="F139" s="2">
        <v>11.0</v>
      </c>
      <c r="G139" s="2">
        <v>2.0</v>
      </c>
    </row>
    <row r="140">
      <c r="A140" s="2">
        <v>3.0</v>
      </c>
      <c r="B140" s="69" t="s">
        <v>232</v>
      </c>
      <c r="C140" s="69" t="s">
        <v>416</v>
      </c>
      <c r="D140" s="2">
        <v>17.0</v>
      </c>
      <c r="E140" s="2">
        <v>27.0</v>
      </c>
      <c r="F140" s="2">
        <v>10.0</v>
      </c>
      <c r="G140" s="2">
        <v>2.0</v>
      </c>
    </row>
    <row r="141">
      <c r="A141" s="2">
        <v>4.0</v>
      </c>
      <c r="B141" s="69" t="s">
        <v>255</v>
      </c>
      <c r="C141" s="69" t="s">
        <v>417</v>
      </c>
      <c r="D141" s="2">
        <v>8.0</v>
      </c>
      <c r="E141" s="2">
        <v>15.0</v>
      </c>
      <c r="F141" s="2">
        <v>1.0</v>
      </c>
      <c r="G141" s="2">
        <v>1.0</v>
      </c>
    </row>
    <row r="142">
      <c r="A142" s="2">
        <v>5.0</v>
      </c>
      <c r="B142" s="69" t="s">
        <v>306</v>
      </c>
      <c r="C142" s="69" t="s">
        <v>418</v>
      </c>
      <c r="D142" s="2">
        <v>1.0</v>
      </c>
      <c r="E142" s="2">
        <v>8.0</v>
      </c>
      <c r="F142" s="2">
        <v>0.0</v>
      </c>
      <c r="G142" s="2">
        <v>0.0</v>
      </c>
    </row>
    <row r="143">
      <c r="B143" s="57" t="s">
        <v>252</v>
      </c>
      <c r="D143" s="15">
        <f t="shared" ref="D143:G143" si="30">SUM(D138:D142)</f>
        <v>75</v>
      </c>
      <c r="E143" s="15">
        <f t="shared" si="30"/>
        <v>125</v>
      </c>
      <c r="F143" s="15">
        <f t="shared" si="30"/>
        <v>36</v>
      </c>
      <c r="G143" s="15">
        <f t="shared" si="30"/>
        <v>10</v>
      </c>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1">
      <c r="A151" s="1" t="s">
        <v>428</v>
      </c>
    </row>
    <row r="153">
      <c r="A153" s="5" t="s">
        <v>430</v>
      </c>
      <c r="B153" s="2" t="s">
        <v>377</v>
      </c>
    </row>
    <row r="154">
      <c r="A154" s="5" t="s">
        <v>432</v>
      </c>
      <c r="B154" s="2" t="s">
        <v>433</v>
      </c>
    </row>
    <row r="156">
      <c r="A156" s="70" t="s">
        <v>435</v>
      </c>
      <c r="B156" s="71">
        <v>4.0</v>
      </c>
      <c r="D156" s="70" t="s">
        <v>437</v>
      </c>
      <c r="E156" s="72">
        <v>3.0</v>
      </c>
      <c r="G156" s="70" t="s">
        <v>439</v>
      </c>
      <c r="H156" s="72">
        <v>3.0</v>
      </c>
    </row>
    <row r="157">
      <c r="A157" s="70" t="s">
        <v>441</v>
      </c>
      <c r="B157" s="72">
        <v>0.0</v>
      </c>
      <c r="D157" s="70" t="s">
        <v>442</v>
      </c>
      <c r="E157" s="72">
        <v>7.0</v>
      </c>
    </row>
    <row r="158">
      <c r="A158" s="70" t="s">
        <v>443</v>
      </c>
      <c r="B158" s="72">
        <v>7.0</v>
      </c>
      <c r="D158" s="70" t="s">
        <v>444</v>
      </c>
      <c r="E158" s="72">
        <v>0.0</v>
      </c>
    </row>
    <row r="161">
      <c r="A161" s="55" t="s">
        <v>446</v>
      </c>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3">
      <c r="A163" s="6" t="s">
        <v>13</v>
      </c>
      <c r="B163" s="6" t="s">
        <v>449</v>
      </c>
      <c r="C163" s="6" t="s">
        <v>451</v>
      </c>
      <c r="D163" s="6" t="s">
        <v>452</v>
      </c>
      <c r="E163" s="6" t="s">
        <v>453</v>
      </c>
      <c r="F163" s="6" t="s">
        <v>454</v>
      </c>
      <c r="G163" s="6" t="s">
        <v>455</v>
      </c>
      <c r="H163" s="6" t="s">
        <v>456</v>
      </c>
      <c r="I163" s="6" t="s">
        <v>26</v>
      </c>
    </row>
    <row r="164">
      <c r="A164" s="2">
        <v>1.0</v>
      </c>
      <c r="B164" s="2" t="s">
        <v>458</v>
      </c>
      <c r="C164" s="28">
        <v>39.0</v>
      </c>
      <c r="D164" s="73">
        <v>0.195</v>
      </c>
      <c r="E164" s="28">
        <v>18.0</v>
      </c>
      <c r="F164" s="73">
        <v>0.09</v>
      </c>
      <c r="G164" s="73">
        <v>0.7512</v>
      </c>
      <c r="H164" s="73">
        <v>0.6866</v>
      </c>
      <c r="I164" s="2">
        <v>0.3846</v>
      </c>
    </row>
    <row r="165">
      <c r="A165" s="2">
        <v>2.0</v>
      </c>
      <c r="B165" s="2" t="s">
        <v>460</v>
      </c>
      <c r="C165" s="28">
        <v>35.0</v>
      </c>
      <c r="D165" s="73">
        <v>0.175</v>
      </c>
      <c r="E165" s="28">
        <v>17.0</v>
      </c>
      <c r="F165" s="73">
        <v>0.085</v>
      </c>
      <c r="G165" s="73">
        <v>0.81</v>
      </c>
      <c r="H165" s="73">
        <v>0.66</v>
      </c>
      <c r="I165" s="2">
        <v>0.0337</v>
      </c>
    </row>
    <row r="166">
      <c r="A166" s="2">
        <v>3.0</v>
      </c>
      <c r="B166" s="2" t="s">
        <v>463</v>
      </c>
      <c r="C166" s="28">
        <v>12.0</v>
      </c>
      <c r="D166" s="73">
        <v>0.06</v>
      </c>
      <c r="E166" s="28">
        <v>7.0</v>
      </c>
      <c r="F166" s="73">
        <v>0.035</v>
      </c>
      <c r="G166" s="73">
        <v>0.3719</v>
      </c>
      <c r="H166" s="73">
        <v>0.3166</v>
      </c>
      <c r="I166" s="2">
        <v>0.0394</v>
      </c>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70">
      <c r="A170" s="74" t="s">
        <v>468</v>
      </c>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2">
      <c r="A172" s="5" t="s">
        <v>376</v>
      </c>
      <c r="B172" s="2" t="s">
        <v>377</v>
      </c>
    </row>
    <row r="173">
      <c r="A173" s="5" t="s">
        <v>472</v>
      </c>
      <c r="B173" s="2" t="s">
        <v>458</v>
      </c>
    </row>
    <row r="175">
      <c r="A175" s="6" t="s">
        <v>13</v>
      </c>
      <c r="B175" s="6" t="s">
        <v>474</v>
      </c>
      <c r="C175" s="6" t="s">
        <v>475</v>
      </c>
      <c r="D175" s="6" t="s">
        <v>453</v>
      </c>
      <c r="E175" s="6" t="s">
        <v>455</v>
      </c>
      <c r="F175" s="6" t="s">
        <v>476</v>
      </c>
    </row>
    <row r="176">
      <c r="A176" s="2">
        <v>1.0</v>
      </c>
      <c r="B176" s="2" t="s">
        <v>480</v>
      </c>
      <c r="C176" s="76">
        <v>0.3544</v>
      </c>
      <c r="D176" s="76">
        <v>0.0127</v>
      </c>
      <c r="E176" s="76">
        <v>0.7932</v>
      </c>
      <c r="F176" s="76">
        <v>0.346</v>
      </c>
    </row>
    <row r="177">
      <c r="A177" s="2">
        <v>2.0</v>
      </c>
      <c r="B177" s="2" t="s">
        <v>482</v>
      </c>
      <c r="C177" s="76">
        <v>0.4177</v>
      </c>
      <c r="D177" s="76">
        <v>0.0759</v>
      </c>
      <c r="E177" s="76">
        <v>0.9231</v>
      </c>
      <c r="F177" s="76">
        <v>0.6641</v>
      </c>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1">
      <c r="A181" s="77" t="s">
        <v>486</v>
      </c>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3">
      <c r="A183" s="6" t="s">
        <v>13</v>
      </c>
      <c r="B183" s="6" t="s">
        <v>407</v>
      </c>
      <c r="C183" s="79" t="s">
        <v>489</v>
      </c>
      <c r="D183" s="79" t="s">
        <v>490</v>
      </c>
      <c r="E183" s="79" t="s">
        <v>491</v>
      </c>
      <c r="F183" s="79" t="s">
        <v>492</v>
      </c>
      <c r="G183" s="79" t="s">
        <v>493</v>
      </c>
      <c r="H183" s="79" t="s">
        <v>495</v>
      </c>
    </row>
    <row r="184">
      <c r="A184" s="7">
        <v>1.0</v>
      </c>
      <c r="B184" s="7" t="s">
        <v>250</v>
      </c>
      <c r="C184" s="7">
        <v>12.0</v>
      </c>
      <c r="D184" s="7">
        <v>6.0</v>
      </c>
      <c r="E184" s="7">
        <v>14.0</v>
      </c>
      <c r="F184" s="7">
        <v>6.0</v>
      </c>
      <c r="G184" s="7">
        <v>4.0</v>
      </c>
      <c r="H184" s="7">
        <v>2.0</v>
      </c>
    </row>
    <row r="185">
      <c r="A185" s="7">
        <v>2.0</v>
      </c>
      <c r="B185" s="7" t="s">
        <v>260</v>
      </c>
      <c r="C185" s="7">
        <v>9.0</v>
      </c>
      <c r="D185" s="7">
        <v>3.0</v>
      </c>
      <c r="E185" s="7">
        <v>8.0</v>
      </c>
      <c r="F185" s="7">
        <v>5.0</v>
      </c>
      <c r="G185" s="7">
        <v>2.0</v>
      </c>
      <c r="H185" s="7">
        <v>1.0</v>
      </c>
    </row>
    <row r="186">
      <c r="A186" s="7">
        <v>3.0</v>
      </c>
      <c r="B186" s="7" t="s">
        <v>232</v>
      </c>
      <c r="C186" s="7">
        <v>11.0</v>
      </c>
      <c r="D186" s="7">
        <v>5.0</v>
      </c>
      <c r="E186" s="7">
        <v>6.0</v>
      </c>
      <c r="F186" s="7">
        <v>3.0</v>
      </c>
      <c r="G186" s="7">
        <v>3.0</v>
      </c>
      <c r="H186" s="7">
        <v>2.0</v>
      </c>
    </row>
    <row r="187">
      <c r="A187" s="7">
        <v>4.0</v>
      </c>
      <c r="B187" s="7" t="s">
        <v>255</v>
      </c>
      <c r="C187" s="7">
        <v>7.0</v>
      </c>
      <c r="D187" s="7">
        <v>4.0</v>
      </c>
      <c r="E187" s="7">
        <v>7.0</v>
      </c>
      <c r="F187" s="7">
        <v>3.0</v>
      </c>
      <c r="G187" s="7">
        <v>3.0</v>
      </c>
      <c r="H187" s="7">
        <v>2.0</v>
      </c>
    </row>
    <row r="188">
      <c r="A188" s="7">
        <v>5.0</v>
      </c>
      <c r="B188" s="7" t="s">
        <v>306</v>
      </c>
      <c r="C188" s="7">
        <v>0.0</v>
      </c>
      <c r="D188" s="7">
        <v>0.0</v>
      </c>
      <c r="E188" s="7">
        <v>0.0</v>
      </c>
      <c r="F188" s="7">
        <v>0.0</v>
      </c>
      <c r="G188" s="7">
        <v>0.0</v>
      </c>
      <c r="H188" s="7">
        <v>0.0</v>
      </c>
    </row>
    <row r="189">
      <c r="A189" s="10"/>
      <c r="B189" s="80" t="s">
        <v>252</v>
      </c>
      <c r="C189" s="6">
        <v>39.0</v>
      </c>
      <c r="D189" s="6">
        <v>18.0</v>
      </c>
      <c r="E189" s="6">
        <v>35.0</v>
      </c>
      <c r="F189" s="6">
        <v>17.0</v>
      </c>
      <c r="G189" s="6">
        <v>12.0</v>
      </c>
      <c r="H189" s="6">
        <v>7.0</v>
      </c>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3">
      <c r="A193" s="6" t="s">
        <v>13</v>
      </c>
      <c r="B193" s="6" t="s">
        <v>407</v>
      </c>
      <c r="C193" s="79" t="s">
        <v>490</v>
      </c>
      <c r="D193" s="79" t="s">
        <v>492</v>
      </c>
      <c r="E193" s="79" t="s">
        <v>495</v>
      </c>
      <c r="G193" s="79"/>
    </row>
    <row r="194">
      <c r="A194" s="7">
        <v>1.0</v>
      </c>
      <c r="B194" s="7" t="s">
        <v>250</v>
      </c>
      <c r="C194" s="7">
        <v>6.0</v>
      </c>
      <c r="D194" s="7">
        <v>6.0</v>
      </c>
      <c r="E194" s="7">
        <v>2.0</v>
      </c>
    </row>
    <row r="195">
      <c r="A195" s="7">
        <v>2.0</v>
      </c>
      <c r="B195" s="7" t="s">
        <v>260</v>
      </c>
      <c r="C195" s="7">
        <v>3.0</v>
      </c>
      <c r="D195" s="7">
        <v>5.0</v>
      </c>
      <c r="E195" s="7">
        <v>1.0</v>
      </c>
    </row>
    <row r="196">
      <c r="A196" s="7">
        <v>3.0</v>
      </c>
      <c r="B196" s="7" t="s">
        <v>232</v>
      </c>
      <c r="C196" s="7">
        <v>5.0</v>
      </c>
      <c r="D196" s="7">
        <v>3.0</v>
      </c>
      <c r="E196" s="7">
        <v>2.0</v>
      </c>
    </row>
    <row r="197">
      <c r="A197" s="7">
        <v>4.0</v>
      </c>
      <c r="B197" s="7" t="s">
        <v>255</v>
      </c>
      <c r="C197" s="7">
        <v>4.0</v>
      </c>
      <c r="D197" s="7">
        <v>3.0</v>
      </c>
      <c r="E197" s="7">
        <v>2.0</v>
      </c>
    </row>
    <row r="198">
      <c r="A198" s="7">
        <v>5.0</v>
      </c>
      <c r="B198" s="7" t="s">
        <v>306</v>
      </c>
      <c r="C198" s="7">
        <v>0.0</v>
      </c>
      <c r="D198" s="7">
        <v>0.0</v>
      </c>
      <c r="E198" s="7">
        <v>0.0</v>
      </c>
    </row>
  </sheetData>
  <mergeCells count="14">
    <mergeCell ref="H31:H32"/>
    <mergeCell ref="I31:K31"/>
    <mergeCell ref="A31:A32"/>
    <mergeCell ref="A90:A91"/>
    <mergeCell ref="B90:B91"/>
    <mergeCell ref="C90:D90"/>
    <mergeCell ref="B143:C143"/>
    <mergeCell ref="B31:B32"/>
    <mergeCell ref="C31:C32"/>
    <mergeCell ref="D31:D32"/>
    <mergeCell ref="E31:E32"/>
    <mergeCell ref="F31:F32"/>
    <mergeCell ref="G31:G32"/>
    <mergeCell ref="B53:E53"/>
  </mergeCells>
  <hyperlinks>
    <hyperlink r:id="rId1" ref="C33"/>
    <hyperlink r:id="rId2" ref="C34"/>
    <hyperlink r:id="rId3" ref="C35"/>
    <hyperlink r:id="rId4" ref="C36"/>
    <hyperlink r:id="rId5" ref="C37"/>
    <hyperlink r:id="rId6" ref="C38"/>
    <hyperlink r:id="rId7" ref="C39"/>
    <hyperlink r:id="rId8" ref="C40"/>
    <hyperlink r:id="rId9" ref="C41"/>
    <hyperlink r:id="rId10" ref="C42"/>
    <hyperlink r:id="rId11" ref="C43"/>
    <hyperlink r:id="rId12" ref="C44"/>
    <hyperlink r:id="rId13" ref="C45"/>
    <hyperlink r:id="rId14" ref="C46"/>
    <hyperlink r:id="rId15" ref="C47"/>
    <hyperlink r:id="rId16" ref="C48"/>
    <hyperlink r:id="rId17" ref="C49"/>
    <hyperlink r:id="rId18" ref="C50"/>
    <hyperlink r:id="rId19" ref="C51"/>
    <hyperlink r:id="rId20" ref="C52"/>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4</v>
      </c>
      <c r="B1" s="2" t="s">
        <v>5</v>
      </c>
      <c r="C1" s="2" t="s">
        <v>6</v>
      </c>
      <c r="D1" s="2" t="s">
        <v>7</v>
      </c>
      <c r="E1" s="2" t="s">
        <v>8</v>
      </c>
      <c r="J1" s="2" t="s">
        <v>4</v>
      </c>
      <c r="K1" s="2" t="s">
        <v>5</v>
      </c>
      <c r="L1" s="2" t="s">
        <v>6</v>
      </c>
      <c r="M1" s="2" t="s">
        <v>7</v>
      </c>
      <c r="N1" s="2" t="s">
        <v>8</v>
      </c>
      <c r="Q1" s="2" t="s">
        <v>11</v>
      </c>
      <c r="R1" s="2" t="s">
        <v>12</v>
      </c>
    </row>
    <row r="2">
      <c r="A2" s="2">
        <v>1020.0</v>
      </c>
      <c r="B2" s="9" t="s">
        <v>14</v>
      </c>
      <c r="C2" s="2" t="s">
        <v>32</v>
      </c>
      <c r="D2" s="2" t="s">
        <v>32</v>
      </c>
      <c r="E2" s="2" t="s">
        <v>32</v>
      </c>
      <c r="J2" s="11">
        <v>1037.0</v>
      </c>
      <c r="K2" s="12" t="s">
        <v>34</v>
      </c>
      <c r="L2" s="2" t="s">
        <v>32</v>
      </c>
      <c r="M2" s="2" t="s">
        <v>32</v>
      </c>
      <c r="N2" s="2" t="s">
        <v>32</v>
      </c>
      <c r="P2" s="2" t="s">
        <v>6</v>
      </c>
      <c r="Q2" s="15">
        <f>COUNTIF(L2:L133, "Y")</f>
        <v>123</v>
      </c>
      <c r="R2" s="15">
        <f>COUNTIF(L2:L133, "N")</f>
        <v>9</v>
      </c>
    </row>
    <row r="3">
      <c r="A3" s="2">
        <v>1067.0</v>
      </c>
      <c r="B3" s="9" t="s">
        <v>42</v>
      </c>
      <c r="C3" s="2" t="s">
        <v>32</v>
      </c>
      <c r="D3" s="2" t="s">
        <v>32</v>
      </c>
      <c r="E3" s="2" t="s">
        <v>32</v>
      </c>
      <c r="J3" s="11">
        <v>109.0</v>
      </c>
      <c r="K3" s="12" t="s">
        <v>47</v>
      </c>
      <c r="L3" s="2" t="s">
        <v>32</v>
      </c>
      <c r="M3" s="2" t="s">
        <v>32</v>
      </c>
      <c r="N3" s="2" t="s">
        <v>32</v>
      </c>
      <c r="P3" s="2" t="s">
        <v>7</v>
      </c>
      <c r="Q3" s="15">
        <f>COUNTIF(M2:M133, "Y")</f>
        <v>123</v>
      </c>
      <c r="R3" s="15">
        <f>COUNTIF(M2:M133, "N")</f>
        <v>9</v>
      </c>
    </row>
    <row r="4">
      <c r="A4" s="2">
        <v>1112.0</v>
      </c>
      <c r="B4" s="9" t="s">
        <v>35</v>
      </c>
      <c r="C4" s="2" t="s">
        <v>32</v>
      </c>
      <c r="D4" s="2" t="s">
        <v>32</v>
      </c>
      <c r="E4" s="2" t="s">
        <v>32</v>
      </c>
      <c r="J4" s="11">
        <v>1129.0</v>
      </c>
      <c r="K4" s="12" t="s">
        <v>54</v>
      </c>
      <c r="L4" s="2" t="s">
        <v>32</v>
      </c>
      <c r="M4" s="2" t="s">
        <v>32</v>
      </c>
      <c r="N4" s="2" t="s">
        <v>32</v>
      </c>
      <c r="P4" s="2" t="s">
        <v>8</v>
      </c>
      <c r="Q4" s="15">
        <f>COUNTIF(N2:N133, "Y")</f>
        <v>123</v>
      </c>
      <c r="R4" s="15">
        <f>COUNTIF(N2:N133, "N")</f>
        <v>9</v>
      </c>
    </row>
    <row r="5">
      <c r="A5" s="2">
        <v>1115.0</v>
      </c>
      <c r="B5" s="9" t="s">
        <v>57</v>
      </c>
      <c r="C5" s="2" t="s">
        <v>32</v>
      </c>
      <c r="D5" s="2" t="s">
        <v>32</v>
      </c>
      <c r="E5" s="2" t="s">
        <v>32</v>
      </c>
      <c r="J5" s="11">
        <v>1136.0</v>
      </c>
      <c r="K5" s="12" t="s">
        <v>59</v>
      </c>
      <c r="L5" s="2" t="s">
        <v>32</v>
      </c>
      <c r="M5" s="2" t="s">
        <v>32</v>
      </c>
      <c r="N5" s="2" t="s">
        <v>32</v>
      </c>
    </row>
    <row r="6">
      <c r="A6" s="2">
        <v>1131.0</v>
      </c>
      <c r="B6" s="9" t="s">
        <v>61</v>
      </c>
      <c r="C6" s="2" t="s">
        <v>32</v>
      </c>
      <c r="D6" s="2" t="s">
        <v>32</v>
      </c>
      <c r="E6" s="2" t="s">
        <v>32</v>
      </c>
      <c r="J6" s="11">
        <v>1197.0</v>
      </c>
      <c r="K6" s="12" t="s">
        <v>62</v>
      </c>
      <c r="L6" s="2" t="s">
        <v>32</v>
      </c>
      <c r="M6" s="2" t="s">
        <v>32</v>
      </c>
      <c r="N6" s="2" t="s">
        <v>32</v>
      </c>
      <c r="P6" s="2" t="s">
        <v>65</v>
      </c>
      <c r="Q6" s="2">
        <v>132.0</v>
      </c>
    </row>
    <row r="7">
      <c r="A7" s="2">
        <v>1136.0</v>
      </c>
      <c r="B7" s="9" t="s">
        <v>66</v>
      </c>
      <c r="C7" s="2" t="s">
        <v>32</v>
      </c>
      <c r="D7" s="2" t="s">
        <v>32</v>
      </c>
      <c r="E7" s="2" t="s">
        <v>32</v>
      </c>
      <c r="J7" s="11">
        <v>121.0</v>
      </c>
      <c r="K7" s="12" t="s">
        <v>68</v>
      </c>
      <c r="L7" s="2" t="s">
        <v>32</v>
      </c>
      <c r="M7" s="2" t="s">
        <v>32</v>
      </c>
      <c r="N7" s="2" t="s">
        <v>32</v>
      </c>
    </row>
    <row r="8">
      <c r="A8" s="2">
        <v>1158.0</v>
      </c>
      <c r="B8" s="9" t="s">
        <v>70</v>
      </c>
      <c r="C8" s="2" t="s">
        <v>32</v>
      </c>
      <c r="D8" s="2" t="s">
        <v>32</v>
      </c>
      <c r="E8" s="2" t="s">
        <v>32</v>
      </c>
      <c r="J8" s="11">
        <v>1222.0</v>
      </c>
      <c r="K8" s="12" t="s">
        <v>74</v>
      </c>
      <c r="L8" s="2" t="s">
        <v>32</v>
      </c>
      <c r="M8" s="2" t="s">
        <v>32</v>
      </c>
      <c r="N8" s="2" t="s">
        <v>32</v>
      </c>
      <c r="P8" s="2" t="s">
        <v>75</v>
      </c>
      <c r="Q8" s="15">
        <f>Q4/132</f>
        <v>0.9318181818</v>
      </c>
    </row>
    <row r="9">
      <c r="A9" s="2">
        <v>1176.0</v>
      </c>
      <c r="B9" s="9" t="s">
        <v>77</v>
      </c>
      <c r="C9" s="2" t="s">
        <v>32</v>
      </c>
      <c r="D9" s="2" t="s">
        <v>32</v>
      </c>
      <c r="E9" s="2" t="s">
        <v>32</v>
      </c>
      <c r="J9" s="11">
        <v>1277.0</v>
      </c>
      <c r="K9" s="12" t="s">
        <v>79</v>
      </c>
      <c r="L9" s="2" t="s">
        <v>32</v>
      </c>
      <c r="M9" s="2" t="s">
        <v>32</v>
      </c>
      <c r="N9" s="2" t="s">
        <v>32</v>
      </c>
    </row>
    <row r="10">
      <c r="A10" s="2">
        <v>1197.0</v>
      </c>
      <c r="B10" s="9" t="s">
        <v>80</v>
      </c>
      <c r="C10" s="2" t="s">
        <v>32</v>
      </c>
      <c r="D10" s="2" t="s">
        <v>32</v>
      </c>
      <c r="E10" s="2" t="s">
        <v>32</v>
      </c>
      <c r="J10" s="11">
        <v>1280.0</v>
      </c>
      <c r="K10" s="12" t="s">
        <v>81</v>
      </c>
      <c r="L10" s="2" t="s">
        <v>32</v>
      </c>
      <c r="M10" s="2" t="s">
        <v>32</v>
      </c>
      <c r="N10" s="2" t="s">
        <v>32</v>
      </c>
      <c r="Q10" s="2" t="s">
        <v>83</v>
      </c>
      <c r="R10" s="2" t="s">
        <v>84</v>
      </c>
    </row>
    <row r="11">
      <c r="A11" s="2">
        <v>1208.0</v>
      </c>
      <c r="B11" s="9" t="s">
        <v>85</v>
      </c>
      <c r="C11" s="2" t="s">
        <v>32</v>
      </c>
      <c r="D11" s="2" t="s">
        <v>32</v>
      </c>
      <c r="E11" s="2" t="s">
        <v>32</v>
      </c>
      <c r="J11" s="11">
        <v>137.0</v>
      </c>
      <c r="K11" s="12" t="s">
        <v>88</v>
      </c>
      <c r="L11" s="2" t="s">
        <v>32</v>
      </c>
      <c r="M11" s="2" t="s">
        <v>32</v>
      </c>
      <c r="N11" s="2" t="s">
        <v>32</v>
      </c>
      <c r="P11" s="2" t="s">
        <v>91</v>
      </c>
      <c r="Q11" s="15">
        <f>COUNTIFS(L2:L133,"Y",M2:M133,"Y")</f>
        <v>122</v>
      </c>
      <c r="R11" s="15">
        <f>COUNTIFS(L2:L133,"N",M2:M133,"Y")</f>
        <v>1</v>
      </c>
    </row>
    <row r="12">
      <c r="A12" s="2">
        <v>121.0</v>
      </c>
      <c r="B12" s="9" t="s">
        <v>94</v>
      </c>
      <c r="C12" s="2" t="s">
        <v>32</v>
      </c>
      <c r="D12" s="2" t="s">
        <v>32</v>
      </c>
      <c r="E12" s="2" t="s">
        <v>32</v>
      </c>
      <c r="J12" s="11">
        <v>1437.0</v>
      </c>
      <c r="K12" s="12" t="s">
        <v>106</v>
      </c>
      <c r="L12" s="2" t="s">
        <v>32</v>
      </c>
      <c r="M12" s="2" t="s">
        <v>32</v>
      </c>
      <c r="N12" s="2" t="s">
        <v>32</v>
      </c>
      <c r="P12" s="2" t="s">
        <v>113</v>
      </c>
      <c r="Q12" s="15">
        <f>COUNTIFS(M2:M133,"N",L2:L133,"Y")</f>
        <v>1</v>
      </c>
      <c r="R12" s="15">
        <f>COUNTIFS(M2:M133,"N",L2:L133,"N")</f>
        <v>8</v>
      </c>
    </row>
    <row r="13">
      <c r="A13" s="2">
        <v>1221.0</v>
      </c>
      <c r="B13" s="9" t="s">
        <v>125</v>
      </c>
      <c r="C13" s="2" t="s">
        <v>32</v>
      </c>
      <c r="D13" s="2" t="s">
        <v>32</v>
      </c>
      <c r="E13" s="2" t="s">
        <v>32</v>
      </c>
      <c r="J13" s="11">
        <v>1439.0</v>
      </c>
      <c r="K13" s="12" t="s">
        <v>130</v>
      </c>
      <c r="L13" s="2" t="s">
        <v>32</v>
      </c>
      <c r="M13" s="2" t="s">
        <v>32</v>
      </c>
      <c r="N13" s="2" t="s">
        <v>32</v>
      </c>
    </row>
    <row r="14">
      <c r="A14" s="2">
        <v>1222.0</v>
      </c>
      <c r="B14" s="9" t="s">
        <v>69</v>
      </c>
      <c r="C14" s="2" t="s">
        <v>32</v>
      </c>
      <c r="D14" s="2" t="s">
        <v>32</v>
      </c>
      <c r="E14" s="2" t="s">
        <v>32</v>
      </c>
      <c r="J14" s="11">
        <v>1445.0</v>
      </c>
      <c r="K14" s="12" t="s">
        <v>141</v>
      </c>
      <c r="L14" s="2" t="s">
        <v>32</v>
      </c>
      <c r="M14" s="2" t="s">
        <v>32</v>
      </c>
      <c r="N14" s="2" t="s">
        <v>32</v>
      </c>
      <c r="P14" s="2" t="s">
        <v>75</v>
      </c>
      <c r="Q14" s="15">
        <f>(Q11+R12)/Q6</f>
        <v>0.9848484848</v>
      </c>
    </row>
    <row r="15">
      <c r="A15" s="2">
        <v>1260.0</v>
      </c>
      <c r="B15" s="9" t="s">
        <v>86</v>
      </c>
      <c r="C15" s="2" t="s">
        <v>32</v>
      </c>
      <c r="D15" s="2" t="s">
        <v>32</v>
      </c>
      <c r="E15" s="2" t="s">
        <v>32</v>
      </c>
      <c r="J15" s="11">
        <v>1455.0</v>
      </c>
      <c r="K15" s="12" t="s">
        <v>153</v>
      </c>
      <c r="L15" s="2" t="s">
        <v>32</v>
      </c>
      <c r="M15" s="2" t="s">
        <v>32</v>
      </c>
      <c r="N15" s="2" t="s">
        <v>32</v>
      </c>
      <c r="P15" s="2" t="s">
        <v>160</v>
      </c>
      <c r="Q15" s="15">
        <f>Q2/Q6</f>
        <v>0.9318181818</v>
      </c>
      <c r="R15" s="2" t="s">
        <v>163</v>
      </c>
      <c r="S15" s="15">
        <f>R2/Q6</f>
        <v>0.06818181818</v>
      </c>
    </row>
    <row r="16">
      <c r="A16" s="2">
        <v>1272.0</v>
      </c>
      <c r="B16" s="9" t="s">
        <v>166</v>
      </c>
      <c r="C16" s="2" t="s">
        <v>32</v>
      </c>
      <c r="D16" s="2" t="s">
        <v>32</v>
      </c>
      <c r="E16" s="2" t="s">
        <v>32</v>
      </c>
      <c r="J16" s="11">
        <v>149.0</v>
      </c>
      <c r="K16" s="12" t="s">
        <v>170</v>
      </c>
      <c r="L16" s="2" t="s">
        <v>32</v>
      </c>
      <c r="M16" s="2" t="s">
        <v>32</v>
      </c>
      <c r="N16" s="2" t="s">
        <v>32</v>
      </c>
      <c r="P16" s="2" t="s">
        <v>176</v>
      </c>
      <c r="Q16" s="15">
        <f>Q3/Q6</f>
        <v>0.9318181818</v>
      </c>
      <c r="R16" s="2" t="s">
        <v>177</v>
      </c>
      <c r="S16" s="15">
        <f>R3/Q6</f>
        <v>0.06818181818</v>
      </c>
    </row>
    <row r="17">
      <c r="A17" s="2">
        <v>1277.0</v>
      </c>
      <c r="B17" s="9" t="s">
        <v>179</v>
      </c>
      <c r="C17" s="2" t="s">
        <v>32</v>
      </c>
      <c r="D17" s="2" t="s">
        <v>32</v>
      </c>
      <c r="E17" s="2" t="s">
        <v>32</v>
      </c>
      <c r="J17" s="11">
        <v>1511.0</v>
      </c>
      <c r="K17" s="12" t="s">
        <v>184</v>
      </c>
      <c r="L17" s="2" t="s">
        <v>32</v>
      </c>
      <c r="M17" s="2" t="s">
        <v>32</v>
      </c>
      <c r="N17" s="2" t="s">
        <v>32</v>
      </c>
      <c r="P17" s="2" t="s">
        <v>186</v>
      </c>
      <c r="Q17" s="15">
        <f>(Q15*Q16)+(S15*S16)</f>
        <v>0.8729338843</v>
      </c>
    </row>
    <row r="18">
      <c r="A18" s="2">
        <v>1280.0</v>
      </c>
      <c r="B18" s="9" t="s">
        <v>56</v>
      </c>
      <c r="C18" s="2" t="s">
        <v>32</v>
      </c>
      <c r="D18" s="2" t="s">
        <v>32</v>
      </c>
      <c r="E18" s="2" t="s">
        <v>32</v>
      </c>
      <c r="J18" s="11">
        <v>1583.0</v>
      </c>
      <c r="K18" s="12" t="s">
        <v>192</v>
      </c>
      <c r="L18" s="2" t="s">
        <v>32</v>
      </c>
      <c r="M18" s="2" t="s">
        <v>32</v>
      </c>
      <c r="N18" s="2" t="s">
        <v>32</v>
      </c>
    </row>
    <row r="19">
      <c r="A19" s="2">
        <v>1294.0</v>
      </c>
      <c r="B19" s="9" t="s">
        <v>197</v>
      </c>
      <c r="C19" s="2" t="s">
        <v>32</v>
      </c>
      <c r="D19" s="2" t="s">
        <v>32</v>
      </c>
      <c r="E19" s="2" t="s">
        <v>32</v>
      </c>
      <c r="J19" s="11">
        <v>1675.0</v>
      </c>
      <c r="K19" s="12" t="s">
        <v>202</v>
      </c>
      <c r="L19" s="2" t="s">
        <v>32</v>
      </c>
      <c r="M19" s="2" t="s">
        <v>32</v>
      </c>
      <c r="N19" s="2" t="s">
        <v>32</v>
      </c>
      <c r="P19" s="2" t="s">
        <v>204</v>
      </c>
      <c r="Q19" s="15">
        <f>(Q14-Q17)/(1-Q17)</f>
        <v>0.8807588076</v>
      </c>
    </row>
    <row r="20">
      <c r="A20" s="2">
        <v>1297.0</v>
      </c>
      <c r="B20" s="8" t="s">
        <v>33</v>
      </c>
      <c r="C20" s="2" t="s">
        <v>32</v>
      </c>
      <c r="D20" s="2" t="s">
        <v>32</v>
      </c>
      <c r="E20" s="2" t="s">
        <v>32</v>
      </c>
      <c r="J20" s="11">
        <v>169.0</v>
      </c>
      <c r="K20" s="12" t="s">
        <v>211</v>
      </c>
      <c r="L20" s="2" t="s">
        <v>32</v>
      </c>
      <c r="M20" s="2" t="s">
        <v>32</v>
      </c>
      <c r="N20" s="2" t="s">
        <v>32</v>
      </c>
    </row>
    <row r="21">
      <c r="A21" s="2">
        <v>1334.0</v>
      </c>
      <c r="B21" s="9" t="s">
        <v>226</v>
      </c>
      <c r="C21" s="2" t="s">
        <v>32</v>
      </c>
      <c r="D21" s="2" t="s">
        <v>32</v>
      </c>
      <c r="E21" s="2" t="s">
        <v>32</v>
      </c>
      <c r="J21" s="11">
        <v>174.0</v>
      </c>
      <c r="K21" s="12" t="s">
        <v>234</v>
      </c>
      <c r="L21" s="2" t="s">
        <v>32</v>
      </c>
      <c r="M21" s="2" t="s">
        <v>32</v>
      </c>
      <c r="N21" s="2" t="s">
        <v>32</v>
      </c>
    </row>
    <row r="22">
      <c r="A22" s="2">
        <v>1351.0</v>
      </c>
      <c r="B22" s="9" t="s">
        <v>246</v>
      </c>
      <c r="C22" s="2" t="s">
        <v>32</v>
      </c>
      <c r="D22" s="2" t="s">
        <v>32</v>
      </c>
      <c r="E22" s="2" t="s">
        <v>32</v>
      </c>
      <c r="J22" s="11">
        <v>177.0</v>
      </c>
      <c r="K22" s="12" t="s">
        <v>263</v>
      </c>
      <c r="L22" s="2" t="s">
        <v>32</v>
      </c>
      <c r="M22" s="2" t="s">
        <v>32</v>
      </c>
      <c r="N22" s="2" t="s">
        <v>32</v>
      </c>
    </row>
    <row r="23">
      <c r="A23" s="2">
        <v>141.0</v>
      </c>
      <c r="B23" s="9" t="s">
        <v>269</v>
      </c>
      <c r="C23" s="2" t="s">
        <v>32</v>
      </c>
      <c r="D23" s="2" t="s">
        <v>32</v>
      </c>
      <c r="E23" s="2" t="s">
        <v>32</v>
      </c>
      <c r="J23" s="11">
        <v>1851.0</v>
      </c>
      <c r="K23" s="12" t="s">
        <v>277</v>
      </c>
      <c r="L23" s="2" t="s">
        <v>32</v>
      </c>
      <c r="M23" s="2" t="s">
        <v>32</v>
      </c>
      <c r="N23" s="2" t="s">
        <v>32</v>
      </c>
    </row>
    <row r="24">
      <c r="A24" s="2">
        <v>1432.0</v>
      </c>
      <c r="B24" s="9" t="s">
        <v>283</v>
      </c>
      <c r="C24" s="2" t="s">
        <v>32</v>
      </c>
      <c r="D24" s="2" t="s">
        <v>32</v>
      </c>
      <c r="E24" s="2" t="s">
        <v>32</v>
      </c>
      <c r="J24" s="11">
        <v>1886.0</v>
      </c>
      <c r="K24" s="12" t="s">
        <v>288</v>
      </c>
      <c r="L24" s="2" t="s">
        <v>32</v>
      </c>
      <c r="M24" s="2" t="s">
        <v>32</v>
      </c>
      <c r="N24" s="2" t="s">
        <v>32</v>
      </c>
    </row>
    <row r="25">
      <c r="A25" s="2">
        <v>1439.0</v>
      </c>
      <c r="B25" s="9" t="s">
        <v>51</v>
      </c>
      <c r="C25" s="2" t="s">
        <v>32</v>
      </c>
      <c r="D25" s="2" t="s">
        <v>32</v>
      </c>
      <c r="E25" s="2" t="s">
        <v>32</v>
      </c>
      <c r="J25" s="11">
        <v>1887.0</v>
      </c>
      <c r="K25" s="12" t="s">
        <v>300</v>
      </c>
      <c r="L25" s="2" t="s">
        <v>41</v>
      </c>
      <c r="M25" s="2" t="s">
        <v>41</v>
      </c>
      <c r="N25" s="2" t="s">
        <v>41</v>
      </c>
    </row>
    <row r="26">
      <c r="A26" s="2">
        <v>1538.0</v>
      </c>
      <c r="B26" s="9" t="s">
        <v>182</v>
      </c>
      <c r="C26" s="2" t="s">
        <v>32</v>
      </c>
      <c r="D26" s="2" t="s">
        <v>32</v>
      </c>
      <c r="E26" s="2" t="s">
        <v>32</v>
      </c>
      <c r="J26" s="11">
        <v>209.0</v>
      </c>
      <c r="K26" s="12" t="s">
        <v>312</v>
      </c>
      <c r="L26" s="2" t="s">
        <v>32</v>
      </c>
      <c r="M26" s="2" t="s">
        <v>32</v>
      </c>
      <c r="N26" s="2" t="s">
        <v>32</v>
      </c>
    </row>
    <row r="27">
      <c r="A27" s="2">
        <v>1545.0</v>
      </c>
      <c r="B27" s="9" t="s">
        <v>164</v>
      </c>
      <c r="C27" s="2" t="s">
        <v>32</v>
      </c>
      <c r="D27" s="2" t="s">
        <v>32</v>
      </c>
      <c r="E27" s="2" t="s">
        <v>32</v>
      </c>
      <c r="J27" s="11">
        <v>2390.0</v>
      </c>
      <c r="K27" s="12" t="s">
        <v>324</v>
      </c>
      <c r="L27" s="2" t="s">
        <v>32</v>
      </c>
      <c r="M27" s="2" t="s">
        <v>32</v>
      </c>
      <c r="N27" s="2" t="s">
        <v>32</v>
      </c>
    </row>
    <row r="28">
      <c r="A28" s="2">
        <v>1551.0</v>
      </c>
      <c r="B28" s="9" t="s">
        <v>329</v>
      </c>
      <c r="C28" s="2" t="s">
        <v>32</v>
      </c>
      <c r="D28" s="2" t="s">
        <v>32</v>
      </c>
      <c r="E28" s="2" t="s">
        <v>32</v>
      </c>
      <c r="J28" s="11">
        <v>255.0</v>
      </c>
      <c r="K28" s="12" t="s">
        <v>336</v>
      </c>
      <c r="L28" s="2" t="s">
        <v>32</v>
      </c>
      <c r="M28" s="2" t="s">
        <v>32</v>
      </c>
      <c r="N28" s="2" t="s">
        <v>32</v>
      </c>
    </row>
    <row r="29">
      <c r="A29" s="2">
        <v>1651.0</v>
      </c>
      <c r="B29" s="9" t="s">
        <v>346</v>
      </c>
      <c r="C29" s="2" t="s">
        <v>32</v>
      </c>
      <c r="D29" s="2" t="s">
        <v>32</v>
      </c>
      <c r="E29" s="2" t="s">
        <v>32</v>
      </c>
      <c r="J29" s="11">
        <v>256.0</v>
      </c>
      <c r="K29" s="12" t="s">
        <v>352</v>
      </c>
      <c r="L29" s="2" t="s">
        <v>32</v>
      </c>
      <c r="M29" s="2" t="s">
        <v>32</v>
      </c>
      <c r="N29" s="2" t="s">
        <v>32</v>
      </c>
    </row>
    <row r="30">
      <c r="A30" s="2">
        <v>166.0</v>
      </c>
      <c r="B30" s="9" t="s">
        <v>360</v>
      </c>
      <c r="C30" s="2" t="s">
        <v>32</v>
      </c>
      <c r="D30" s="2" t="s">
        <v>32</v>
      </c>
      <c r="E30" s="2" t="s">
        <v>32</v>
      </c>
      <c r="J30" s="11">
        <v>259.0</v>
      </c>
      <c r="K30" s="12" t="s">
        <v>366</v>
      </c>
      <c r="L30" s="2" t="s">
        <v>32</v>
      </c>
      <c r="M30" s="2" t="s">
        <v>32</v>
      </c>
      <c r="N30" s="2" t="s">
        <v>32</v>
      </c>
    </row>
    <row r="31">
      <c r="A31" s="2">
        <v>1675.0</v>
      </c>
      <c r="B31" s="9" t="s">
        <v>319</v>
      </c>
      <c r="C31" s="2" t="s">
        <v>32</v>
      </c>
      <c r="D31" s="2" t="s">
        <v>32</v>
      </c>
      <c r="E31" s="2" t="s">
        <v>32</v>
      </c>
      <c r="J31" s="11">
        <v>273.0</v>
      </c>
      <c r="K31" s="12" t="s">
        <v>383</v>
      </c>
      <c r="L31" s="2" t="s">
        <v>32</v>
      </c>
      <c r="M31" s="2" t="s">
        <v>32</v>
      </c>
      <c r="N31" s="2" t="s">
        <v>32</v>
      </c>
    </row>
    <row r="32">
      <c r="A32" s="2">
        <v>1686.0</v>
      </c>
      <c r="B32" s="9" t="s">
        <v>126</v>
      </c>
      <c r="C32" s="2" t="s">
        <v>32</v>
      </c>
      <c r="D32" s="2" t="s">
        <v>32</v>
      </c>
      <c r="E32" s="2" t="s">
        <v>32</v>
      </c>
      <c r="J32" s="11">
        <v>288.0</v>
      </c>
      <c r="K32" s="12" t="s">
        <v>388</v>
      </c>
      <c r="L32" s="2" t="s">
        <v>41</v>
      </c>
      <c r="M32" s="2" t="s">
        <v>32</v>
      </c>
      <c r="N32" s="2" t="s">
        <v>32</v>
      </c>
    </row>
    <row r="33">
      <c r="A33" s="2">
        <v>1687.0</v>
      </c>
      <c r="B33" s="9" t="s">
        <v>392</v>
      </c>
      <c r="C33" s="2" t="s">
        <v>32</v>
      </c>
      <c r="D33" s="2" t="s">
        <v>32</v>
      </c>
      <c r="E33" s="2" t="s">
        <v>32</v>
      </c>
      <c r="J33" s="11">
        <v>29.0</v>
      </c>
      <c r="K33" s="12" t="s">
        <v>397</v>
      </c>
      <c r="L33" s="2" t="s">
        <v>32</v>
      </c>
      <c r="M33" s="2" t="s">
        <v>32</v>
      </c>
      <c r="N33" s="2" t="s">
        <v>32</v>
      </c>
    </row>
    <row r="34">
      <c r="A34" s="2">
        <v>1689.0</v>
      </c>
      <c r="B34" s="9" t="s">
        <v>405</v>
      </c>
      <c r="C34" s="2" t="s">
        <v>32</v>
      </c>
      <c r="D34" s="2" t="s">
        <v>32</v>
      </c>
      <c r="E34" s="2" t="s">
        <v>32</v>
      </c>
      <c r="J34" s="11">
        <v>313.0</v>
      </c>
      <c r="K34" s="12" t="s">
        <v>414</v>
      </c>
      <c r="L34" s="2" t="s">
        <v>41</v>
      </c>
      <c r="M34" s="2" t="s">
        <v>41</v>
      </c>
      <c r="N34" s="2" t="s">
        <v>41</v>
      </c>
    </row>
    <row r="35">
      <c r="A35" s="2">
        <v>169.0</v>
      </c>
      <c r="B35" s="9" t="s">
        <v>90</v>
      </c>
      <c r="C35" s="2" t="s">
        <v>32</v>
      </c>
      <c r="D35" s="2" t="s">
        <v>32</v>
      </c>
      <c r="E35" s="2" t="s">
        <v>32</v>
      </c>
      <c r="J35" s="11">
        <v>325.0</v>
      </c>
      <c r="K35" s="12" t="s">
        <v>423</v>
      </c>
      <c r="L35" s="2" t="s">
        <v>32</v>
      </c>
      <c r="M35" s="2" t="s">
        <v>32</v>
      </c>
      <c r="N35" s="2" t="s">
        <v>32</v>
      </c>
    </row>
    <row r="36">
      <c r="A36" s="2">
        <v>1696.0</v>
      </c>
      <c r="B36" s="9" t="s">
        <v>429</v>
      </c>
      <c r="C36" s="2" t="s">
        <v>32</v>
      </c>
      <c r="D36" s="2" t="s">
        <v>32</v>
      </c>
      <c r="E36" s="2" t="s">
        <v>32</v>
      </c>
      <c r="J36" s="11">
        <v>33.0</v>
      </c>
      <c r="K36" s="12" t="s">
        <v>440</v>
      </c>
      <c r="L36" s="2" t="s">
        <v>32</v>
      </c>
      <c r="M36" s="2" t="s">
        <v>32</v>
      </c>
      <c r="N36" s="2" t="s">
        <v>32</v>
      </c>
    </row>
    <row r="37">
      <c r="A37" s="2">
        <v>1702.0</v>
      </c>
      <c r="B37" s="8" t="s">
        <v>142</v>
      </c>
      <c r="C37" s="2" t="s">
        <v>32</v>
      </c>
      <c r="D37" s="2" t="s">
        <v>32</v>
      </c>
      <c r="E37" s="2" t="s">
        <v>32</v>
      </c>
      <c r="J37" s="11">
        <v>33.0</v>
      </c>
      <c r="K37" s="12" t="s">
        <v>461</v>
      </c>
      <c r="L37" s="2" t="s">
        <v>32</v>
      </c>
      <c r="M37" s="2" t="s">
        <v>32</v>
      </c>
      <c r="N37" s="2" t="s">
        <v>32</v>
      </c>
    </row>
    <row r="38">
      <c r="A38" s="2">
        <v>1702.0</v>
      </c>
      <c r="B38" s="8" t="s">
        <v>49</v>
      </c>
      <c r="C38" s="2" t="s">
        <v>32</v>
      </c>
      <c r="D38" s="2" t="s">
        <v>32</v>
      </c>
      <c r="E38" s="2" t="s">
        <v>32</v>
      </c>
      <c r="J38" s="11">
        <v>388.0</v>
      </c>
      <c r="K38" s="12" t="s">
        <v>479</v>
      </c>
      <c r="L38" s="2" t="s">
        <v>32</v>
      </c>
      <c r="M38" s="2" t="s">
        <v>32</v>
      </c>
      <c r="N38" s="2" t="s">
        <v>32</v>
      </c>
    </row>
    <row r="39">
      <c r="A39" s="2">
        <v>1703.0</v>
      </c>
      <c r="B39" s="9" t="s">
        <v>339</v>
      </c>
      <c r="C39" s="2" t="s">
        <v>32</v>
      </c>
      <c r="D39" s="2" t="s">
        <v>32</v>
      </c>
      <c r="E39" s="2" t="s">
        <v>32</v>
      </c>
      <c r="J39" s="11">
        <v>3979.0</v>
      </c>
      <c r="K39" s="12" t="s">
        <v>496</v>
      </c>
      <c r="L39" s="2" t="s">
        <v>32</v>
      </c>
      <c r="M39" s="2" t="s">
        <v>32</v>
      </c>
      <c r="N39" s="2" t="s">
        <v>32</v>
      </c>
    </row>
    <row r="40">
      <c r="A40" s="2">
        <v>1704.0</v>
      </c>
      <c r="B40" s="9" t="s">
        <v>95</v>
      </c>
      <c r="C40" s="2" t="s">
        <v>32</v>
      </c>
      <c r="D40" s="2" t="s">
        <v>32</v>
      </c>
      <c r="E40" s="2" t="s">
        <v>32</v>
      </c>
      <c r="J40" s="11">
        <v>3988.0</v>
      </c>
      <c r="K40" s="12" t="s">
        <v>507</v>
      </c>
      <c r="L40" s="2" t="s">
        <v>32</v>
      </c>
      <c r="M40" s="2" t="s">
        <v>32</v>
      </c>
      <c r="N40" s="2" t="s">
        <v>32</v>
      </c>
    </row>
    <row r="41">
      <c r="A41" s="2">
        <v>1714.0</v>
      </c>
      <c r="B41" s="8" t="s">
        <v>46</v>
      </c>
      <c r="C41" s="2" t="s">
        <v>32</v>
      </c>
      <c r="D41" s="2" t="s">
        <v>32</v>
      </c>
      <c r="E41" s="2" t="s">
        <v>32</v>
      </c>
      <c r="J41" s="11">
        <v>40.0</v>
      </c>
      <c r="K41" s="12" t="s">
        <v>518</v>
      </c>
      <c r="L41" s="2" t="s">
        <v>32</v>
      </c>
      <c r="M41" s="2" t="s">
        <v>32</v>
      </c>
      <c r="N41" s="2" t="s">
        <v>32</v>
      </c>
    </row>
    <row r="42">
      <c r="A42" s="2">
        <v>1723.0</v>
      </c>
      <c r="B42" s="9" t="s">
        <v>524</v>
      </c>
      <c r="C42" s="2" t="s">
        <v>32</v>
      </c>
      <c r="D42" s="2" t="s">
        <v>32</v>
      </c>
      <c r="E42" s="2" t="s">
        <v>32</v>
      </c>
      <c r="J42" s="11">
        <v>4072.0</v>
      </c>
      <c r="K42" s="12" t="s">
        <v>529</v>
      </c>
      <c r="L42" s="2" t="s">
        <v>32</v>
      </c>
      <c r="M42" s="2" t="s">
        <v>32</v>
      </c>
      <c r="N42" s="2" t="s">
        <v>32</v>
      </c>
    </row>
    <row r="43">
      <c r="A43" s="2">
        <v>1724.0</v>
      </c>
      <c r="B43" s="9" t="s">
        <v>534</v>
      </c>
      <c r="C43" s="2" t="s">
        <v>32</v>
      </c>
      <c r="D43" s="2" t="s">
        <v>32</v>
      </c>
      <c r="E43" s="2" t="s">
        <v>32</v>
      </c>
      <c r="J43" s="11">
        <v>4109.0</v>
      </c>
      <c r="K43" s="12" t="s">
        <v>540</v>
      </c>
      <c r="L43" s="2" t="s">
        <v>32</v>
      </c>
      <c r="M43" s="2" t="s">
        <v>32</v>
      </c>
      <c r="N43" s="2" t="s">
        <v>32</v>
      </c>
    </row>
    <row r="44">
      <c r="A44" s="2">
        <v>1732.0</v>
      </c>
      <c r="B44" s="9" t="s">
        <v>243</v>
      </c>
      <c r="C44" s="2" t="s">
        <v>32</v>
      </c>
      <c r="D44" s="2" t="s">
        <v>32</v>
      </c>
      <c r="E44" s="2" t="s">
        <v>32</v>
      </c>
      <c r="J44" s="11">
        <v>411.0</v>
      </c>
      <c r="K44" s="12" t="s">
        <v>550</v>
      </c>
      <c r="L44" s="2" t="s">
        <v>32</v>
      </c>
      <c r="M44" s="2" t="s">
        <v>32</v>
      </c>
      <c r="N44" s="2" t="s">
        <v>32</v>
      </c>
    </row>
    <row r="45">
      <c r="A45" s="2">
        <v>1745.0</v>
      </c>
      <c r="B45" s="9" t="s">
        <v>419</v>
      </c>
      <c r="C45" s="2" t="s">
        <v>32</v>
      </c>
      <c r="D45" s="2" t="s">
        <v>32</v>
      </c>
      <c r="E45" s="2" t="s">
        <v>32</v>
      </c>
      <c r="J45" s="11">
        <v>4229.0</v>
      </c>
      <c r="K45" s="12" t="s">
        <v>558</v>
      </c>
      <c r="L45" s="2" t="s">
        <v>32</v>
      </c>
      <c r="M45" s="2" t="s">
        <v>32</v>
      </c>
      <c r="N45" s="2" t="s">
        <v>32</v>
      </c>
    </row>
    <row r="46">
      <c r="A46" s="2">
        <v>1765.0</v>
      </c>
      <c r="B46" s="9" t="s">
        <v>43</v>
      </c>
      <c r="C46" s="2" t="s">
        <v>32</v>
      </c>
      <c r="D46" s="2" t="s">
        <v>32</v>
      </c>
      <c r="E46" s="2" t="s">
        <v>32</v>
      </c>
      <c r="J46" s="11">
        <v>429.0</v>
      </c>
      <c r="K46" s="12" t="s">
        <v>568</v>
      </c>
      <c r="L46" s="2" t="s">
        <v>32</v>
      </c>
      <c r="M46" s="2" t="s">
        <v>32</v>
      </c>
      <c r="N46" s="2" t="s">
        <v>32</v>
      </c>
    </row>
    <row r="47">
      <c r="A47" s="2">
        <v>1792.0</v>
      </c>
      <c r="B47" s="9" t="s">
        <v>156</v>
      </c>
      <c r="C47" s="2" t="s">
        <v>32</v>
      </c>
      <c r="D47" s="2" t="s">
        <v>32</v>
      </c>
      <c r="E47" s="2" t="s">
        <v>32</v>
      </c>
      <c r="J47" s="11">
        <v>441.0</v>
      </c>
      <c r="K47" s="12" t="s">
        <v>575</v>
      </c>
      <c r="L47" s="2" t="s">
        <v>32</v>
      </c>
      <c r="M47" s="2" t="s">
        <v>32</v>
      </c>
      <c r="N47" s="2" t="s">
        <v>32</v>
      </c>
    </row>
    <row r="48">
      <c r="A48" s="2">
        <v>1793.0</v>
      </c>
      <c r="B48" s="9" t="s">
        <v>582</v>
      </c>
      <c r="C48" s="2" t="s">
        <v>32</v>
      </c>
      <c r="D48" s="2" t="s">
        <v>32</v>
      </c>
      <c r="E48" s="2" t="s">
        <v>32</v>
      </c>
      <c r="J48" s="11">
        <v>4543.0</v>
      </c>
      <c r="K48" s="12" t="s">
        <v>587</v>
      </c>
      <c r="L48" s="2" t="s">
        <v>32</v>
      </c>
      <c r="M48" s="2" t="s">
        <v>32</v>
      </c>
      <c r="N48" s="2" t="s">
        <v>32</v>
      </c>
    </row>
    <row r="49">
      <c r="A49" s="2">
        <v>1810.0</v>
      </c>
      <c r="B49" s="9" t="s">
        <v>344</v>
      </c>
      <c r="C49" s="2" t="s">
        <v>32</v>
      </c>
      <c r="D49" s="2" t="s">
        <v>32</v>
      </c>
      <c r="E49" s="2" t="s">
        <v>32</v>
      </c>
      <c r="J49" s="11">
        <v>4841.0</v>
      </c>
      <c r="K49" s="12" t="s">
        <v>594</v>
      </c>
      <c r="L49" s="2" t="s">
        <v>32</v>
      </c>
      <c r="M49" s="2" t="s">
        <v>32</v>
      </c>
      <c r="N49" s="2" t="s">
        <v>32</v>
      </c>
    </row>
    <row r="50">
      <c r="A50" s="2">
        <v>1813.0</v>
      </c>
      <c r="B50" s="9" t="s">
        <v>308</v>
      </c>
      <c r="C50" s="2" t="s">
        <v>32</v>
      </c>
      <c r="D50" s="2" t="s">
        <v>32</v>
      </c>
      <c r="E50" s="2" t="s">
        <v>32</v>
      </c>
      <c r="J50" s="11">
        <v>513.0</v>
      </c>
      <c r="K50" s="12" t="s">
        <v>601</v>
      </c>
      <c r="L50" s="2" t="s">
        <v>41</v>
      </c>
      <c r="M50" s="2" t="s">
        <v>41</v>
      </c>
      <c r="N50" s="2" t="s">
        <v>41</v>
      </c>
    </row>
    <row r="51">
      <c r="A51" s="2">
        <v>182.0</v>
      </c>
      <c r="B51" s="9" t="s">
        <v>606</v>
      </c>
      <c r="C51" s="2" t="s">
        <v>32</v>
      </c>
      <c r="D51" s="2" t="s">
        <v>32</v>
      </c>
      <c r="E51" s="2" t="s">
        <v>32</v>
      </c>
      <c r="J51" s="11">
        <v>5557.0</v>
      </c>
      <c r="K51" s="12" t="s">
        <v>609</v>
      </c>
      <c r="L51" s="2" t="s">
        <v>41</v>
      </c>
      <c r="M51" s="2" t="s">
        <v>41</v>
      </c>
      <c r="N51" s="2" t="s">
        <v>41</v>
      </c>
    </row>
    <row r="52">
      <c r="A52" s="2">
        <v>1820.0</v>
      </c>
      <c r="B52" s="9" t="s">
        <v>465</v>
      </c>
      <c r="C52" s="2" t="s">
        <v>32</v>
      </c>
      <c r="D52" s="2" t="s">
        <v>32</v>
      </c>
      <c r="E52" s="2" t="s">
        <v>32</v>
      </c>
      <c r="J52" s="11">
        <v>56.0</v>
      </c>
      <c r="K52" s="12" t="s">
        <v>614</v>
      </c>
      <c r="L52" s="2" t="s">
        <v>32</v>
      </c>
      <c r="M52" s="2" t="s">
        <v>32</v>
      </c>
      <c r="N52" s="2" t="s">
        <v>32</v>
      </c>
    </row>
    <row r="53">
      <c r="A53" s="2">
        <v>1885.0</v>
      </c>
      <c r="B53" s="9" t="s">
        <v>470</v>
      </c>
      <c r="C53" s="2" t="s">
        <v>32</v>
      </c>
      <c r="D53" s="2" t="s">
        <v>32</v>
      </c>
      <c r="E53" s="2" t="s">
        <v>32</v>
      </c>
      <c r="J53" s="11">
        <v>5700.0</v>
      </c>
      <c r="K53" s="12" t="s">
        <v>617</v>
      </c>
      <c r="L53" s="2" t="s">
        <v>32</v>
      </c>
      <c r="M53" s="2" t="s">
        <v>32</v>
      </c>
      <c r="N53" s="2" t="s">
        <v>32</v>
      </c>
    </row>
    <row r="54">
      <c r="A54" s="2">
        <v>1890.0</v>
      </c>
      <c r="B54" s="9" t="s">
        <v>445</v>
      </c>
      <c r="C54" s="2" t="s">
        <v>32</v>
      </c>
      <c r="D54" s="2" t="s">
        <v>32</v>
      </c>
      <c r="E54" s="2" t="s">
        <v>32</v>
      </c>
      <c r="J54" s="11">
        <v>5739.0</v>
      </c>
      <c r="K54" s="12" t="s">
        <v>620</v>
      </c>
      <c r="L54" s="2" t="s">
        <v>32</v>
      </c>
      <c r="M54" s="2" t="s">
        <v>32</v>
      </c>
      <c r="N54" s="2" t="s">
        <v>32</v>
      </c>
    </row>
    <row r="55">
      <c r="A55" s="2">
        <v>1892.0</v>
      </c>
      <c r="B55" s="9" t="s">
        <v>621</v>
      </c>
      <c r="C55" s="2" t="s">
        <v>32</v>
      </c>
      <c r="D55" s="2" t="s">
        <v>32</v>
      </c>
      <c r="E55" s="2" t="s">
        <v>32</v>
      </c>
      <c r="J55" s="11">
        <v>5741.0</v>
      </c>
      <c r="K55" s="12" t="s">
        <v>623</v>
      </c>
      <c r="L55" s="2" t="s">
        <v>32</v>
      </c>
      <c r="M55" s="2" t="s">
        <v>32</v>
      </c>
      <c r="N55" s="2" t="s">
        <v>32</v>
      </c>
    </row>
    <row r="56">
      <c r="A56" s="2">
        <v>1900.0</v>
      </c>
      <c r="B56" s="9" t="s">
        <v>624</v>
      </c>
      <c r="C56" s="2" t="s">
        <v>32</v>
      </c>
      <c r="D56" s="2" t="s">
        <v>32</v>
      </c>
      <c r="E56" s="2" t="s">
        <v>32</v>
      </c>
      <c r="J56" s="11">
        <v>5769.0</v>
      </c>
      <c r="K56" s="12" t="s">
        <v>625</v>
      </c>
      <c r="L56" s="2" t="s">
        <v>41</v>
      </c>
      <c r="M56" s="2" t="s">
        <v>41</v>
      </c>
      <c r="N56" s="2" t="s">
        <v>41</v>
      </c>
    </row>
    <row r="57">
      <c r="A57" s="2">
        <v>1904.0</v>
      </c>
      <c r="B57" s="9" t="s">
        <v>628</v>
      </c>
      <c r="C57" s="2" t="s">
        <v>32</v>
      </c>
      <c r="D57" s="2" t="s">
        <v>32</v>
      </c>
      <c r="E57" s="2" t="s">
        <v>32</v>
      </c>
      <c r="J57" s="11">
        <v>5784.0</v>
      </c>
      <c r="K57" s="12" t="s">
        <v>631</v>
      </c>
      <c r="L57" s="2" t="s">
        <v>32</v>
      </c>
      <c r="M57" s="2" t="s">
        <v>32</v>
      </c>
      <c r="N57" s="2" t="s">
        <v>32</v>
      </c>
    </row>
    <row r="58">
      <c r="A58" s="2">
        <v>1924.0</v>
      </c>
      <c r="B58" s="9" t="s">
        <v>189</v>
      </c>
      <c r="C58" s="2" t="s">
        <v>32</v>
      </c>
      <c r="D58" s="2" t="s">
        <v>32</v>
      </c>
      <c r="E58" s="2" t="s">
        <v>32</v>
      </c>
      <c r="J58" s="11">
        <v>5787.0</v>
      </c>
      <c r="K58" s="12" t="s">
        <v>634</v>
      </c>
      <c r="L58" s="2" t="s">
        <v>32</v>
      </c>
      <c r="M58" s="2" t="s">
        <v>32</v>
      </c>
      <c r="N58" s="2" t="s">
        <v>32</v>
      </c>
    </row>
    <row r="59">
      <c r="A59" s="2">
        <v>194.0</v>
      </c>
      <c r="B59" s="9" t="s">
        <v>173</v>
      </c>
      <c r="C59" s="2" t="s">
        <v>32</v>
      </c>
      <c r="D59" s="2" t="s">
        <v>32</v>
      </c>
      <c r="E59" s="2" t="s">
        <v>32</v>
      </c>
      <c r="J59" s="11">
        <v>6050.0</v>
      </c>
      <c r="K59" s="12" t="s">
        <v>641</v>
      </c>
      <c r="L59" s="2" t="s">
        <v>32</v>
      </c>
      <c r="M59" s="2" t="s">
        <v>32</v>
      </c>
      <c r="N59" s="2" t="s">
        <v>32</v>
      </c>
    </row>
    <row r="60">
      <c r="A60" s="2">
        <v>196.0</v>
      </c>
      <c r="B60" s="9" t="s">
        <v>421</v>
      </c>
      <c r="C60" s="2" t="s">
        <v>41</v>
      </c>
      <c r="D60" s="2" t="s">
        <v>32</v>
      </c>
      <c r="E60" s="2" t="s">
        <v>41</v>
      </c>
      <c r="F60" s="2" t="s">
        <v>651</v>
      </c>
      <c r="J60" s="11">
        <v>6072.0</v>
      </c>
      <c r="K60" s="12" t="s">
        <v>652</v>
      </c>
      <c r="L60" s="2" t="s">
        <v>32</v>
      </c>
      <c r="M60" s="2" t="s">
        <v>32</v>
      </c>
      <c r="N60" s="2" t="s">
        <v>32</v>
      </c>
    </row>
    <row r="61">
      <c r="A61" s="2">
        <v>1965.0</v>
      </c>
      <c r="B61" s="9" t="s">
        <v>228</v>
      </c>
      <c r="C61" s="2" t="s">
        <v>32</v>
      </c>
      <c r="D61" s="2" t="s">
        <v>32</v>
      </c>
      <c r="E61" s="2" t="s">
        <v>32</v>
      </c>
      <c r="J61" s="11">
        <v>6212.0</v>
      </c>
      <c r="K61" s="12" t="s">
        <v>655</v>
      </c>
      <c r="L61" s="2" t="s">
        <v>32</v>
      </c>
      <c r="M61" s="2" t="s">
        <v>32</v>
      </c>
      <c r="N61" s="2" t="s">
        <v>32</v>
      </c>
    </row>
    <row r="62">
      <c r="A62" s="2">
        <v>2000.0</v>
      </c>
      <c r="B62" s="9" t="s">
        <v>404</v>
      </c>
      <c r="C62" s="2" t="s">
        <v>32</v>
      </c>
      <c r="D62" s="2" t="s">
        <v>32</v>
      </c>
      <c r="E62" s="2" t="s">
        <v>32</v>
      </c>
      <c r="J62" s="11">
        <v>6302.0</v>
      </c>
      <c r="K62" s="12" t="s">
        <v>657</v>
      </c>
      <c r="L62" s="2" t="s">
        <v>32</v>
      </c>
      <c r="M62" s="2" t="s">
        <v>32</v>
      </c>
      <c r="N62" s="2" t="s">
        <v>32</v>
      </c>
    </row>
    <row r="63">
      <c r="A63" s="2">
        <v>2007.0</v>
      </c>
      <c r="B63" s="9" t="s">
        <v>221</v>
      </c>
      <c r="C63" s="2" t="s">
        <v>32</v>
      </c>
      <c r="D63" s="2" t="s">
        <v>32</v>
      </c>
      <c r="E63" s="2" t="s">
        <v>32</v>
      </c>
      <c r="J63" s="11">
        <v>6409.0</v>
      </c>
      <c r="K63" s="12" t="s">
        <v>663</v>
      </c>
      <c r="L63" s="2" t="s">
        <v>32</v>
      </c>
      <c r="M63" s="2" t="s">
        <v>32</v>
      </c>
      <c r="N63" s="2" t="s">
        <v>32</v>
      </c>
    </row>
    <row r="64">
      <c r="A64" s="2">
        <v>2052.0</v>
      </c>
      <c r="B64" s="9" t="s">
        <v>313</v>
      </c>
      <c r="C64" s="2" t="s">
        <v>32</v>
      </c>
      <c r="D64" s="2" t="s">
        <v>32</v>
      </c>
      <c r="E64" s="2" t="s">
        <v>32</v>
      </c>
      <c r="J64" s="11">
        <v>6465.0</v>
      </c>
      <c r="K64" s="12" t="s">
        <v>670</v>
      </c>
      <c r="L64" s="2" t="s">
        <v>32</v>
      </c>
      <c r="M64" s="2" t="s">
        <v>32</v>
      </c>
      <c r="N64" s="2" t="s">
        <v>32</v>
      </c>
    </row>
    <row r="65">
      <c r="A65" s="2">
        <v>2055.0</v>
      </c>
      <c r="B65" s="9" t="s">
        <v>389</v>
      </c>
      <c r="C65" s="2" t="s">
        <v>32</v>
      </c>
      <c r="D65" s="2" t="s">
        <v>32</v>
      </c>
      <c r="E65" s="2" t="s">
        <v>32</v>
      </c>
      <c r="J65" s="11">
        <v>6585.0</v>
      </c>
      <c r="K65" s="12" t="s">
        <v>672</v>
      </c>
      <c r="L65" s="2" t="s">
        <v>32</v>
      </c>
      <c r="M65" s="2" t="s">
        <v>32</v>
      </c>
      <c r="N65" s="2" t="s">
        <v>32</v>
      </c>
    </row>
    <row r="66">
      <c r="A66" s="2">
        <v>2089.0</v>
      </c>
      <c r="B66" s="9" t="s">
        <v>396</v>
      </c>
      <c r="C66" s="2" t="s">
        <v>32</v>
      </c>
      <c r="D66" s="2" t="s">
        <v>32</v>
      </c>
      <c r="E66" s="2" t="s">
        <v>32</v>
      </c>
      <c r="J66" s="11">
        <v>66.0</v>
      </c>
      <c r="K66" s="12" t="s">
        <v>675</v>
      </c>
      <c r="L66" s="2" t="s">
        <v>32</v>
      </c>
      <c r="M66" s="2" t="s">
        <v>32</v>
      </c>
      <c r="N66" s="2" t="s">
        <v>32</v>
      </c>
    </row>
    <row r="67">
      <c r="A67" s="2">
        <v>209.0</v>
      </c>
      <c r="B67" s="9" t="s">
        <v>206</v>
      </c>
      <c r="C67" s="2" t="s">
        <v>32</v>
      </c>
      <c r="D67" s="2" t="s">
        <v>32</v>
      </c>
      <c r="E67" s="2" t="s">
        <v>32</v>
      </c>
      <c r="J67" s="11">
        <v>682.0</v>
      </c>
      <c r="K67" s="12" t="s">
        <v>678</v>
      </c>
      <c r="L67" s="2" t="s">
        <v>32</v>
      </c>
      <c r="M67" s="2" t="s">
        <v>32</v>
      </c>
      <c r="N67" s="2" t="s">
        <v>32</v>
      </c>
    </row>
    <row r="68">
      <c r="A68" s="2">
        <v>2090.0</v>
      </c>
      <c r="B68" s="9" t="s">
        <v>285</v>
      </c>
      <c r="C68" s="2" t="s">
        <v>32</v>
      </c>
      <c r="D68" s="2" t="s">
        <v>32</v>
      </c>
      <c r="E68" s="2" t="s">
        <v>32</v>
      </c>
      <c r="J68" s="11">
        <v>70.0</v>
      </c>
      <c r="K68" s="12" t="s">
        <v>679</v>
      </c>
      <c r="L68" s="2" t="s">
        <v>41</v>
      </c>
      <c r="M68" s="2" t="s">
        <v>41</v>
      </c>
      <c r="N68" s="2" t="s">
        <v>41</v>
      </c>
    </row>
    <row r="69">
      <c r="A69" s="2">
        <v>2122.0</v>
      </c>
      <c r="B69" s="9" t="s">
        <v>566</v>
      </c>
      <c r="C69" s="2" t="s">
        <v>32</v>
      </c>
      <c r="D69" s="2" t="s">
        <v>32</v>
      </c>
      <c r="E69" s="2" t="s">
        <v>32</v>
      </c>
      <c r="J69" s="11">
        <v>700.0</v>
      </c>
      <c r="K69" s="12" t="s">
        <v>682</v>
      </c>
      <c r="L69" s="2" t="s">
        <v>32</v>
      </c>
      <c r="M69" s="2" t="s">
        <v>32</v>
      </c>
      <c r="N69" s="2" t="s">
        <v>32</v>
      </c>
    </row>
    <row r="70">
      <c r="A70" s="2">
        <v>2130.0</v>
      </c>
      <c r="B70" s="9" t="s">
        <v>572</v>
      </c>
      <c r="C70" s="2" t="s">
        <v>32</v>
      </c>
      <c r="D70" s="2" t="s">
        <v>32</v>
      </c>
      <c r="E70" s="2" t="s">
        <v>32</v>
      </c>
      <c r="J70" s="11">
        <v>71.0</v>
      </c>
      <c r="K70" s="12" t="s">
        <v>685</v>
      </c>
      <c r="L70" s="2" t="s">
        <v>32</v>
      </c>
      <c r="M70" s="2" t="s">
        <v>41</v>
      </c>
      <c r="N70" s="2" t="s">
        <v>41</v>
      </c>
    </row>
    <row r="71">
      <c r="A71" s="2">
        <v>2130.0</v>
      </c>
      <c r="B71" s="9" t="s">
        <v>619</v>
      </c>
      <c r="C71" s="2" t="s">
        <v>32</v>
      </c>
      <c r="D71" s="2" t="s">
        <v>32</v>
      </c>
      <c r="E71" s="2" t="s">
        <v>32</v>
      </c>
      <c r="J71" s="11">
        <v>768.0</v>
      </c>
      <c r="K71" s="12" t="s">
        <v>689</v>
      </c>
      <c r="L71" s="2" t="s">
        <v>32</v>
      </c>
      <c r="M71" s="2" t="s">
        <v>32</v>
      </c>
      <c r="N71" s="2" t="s">
        <v>32</v>
      </c>
    </row>
    <row r="72">
      <c r="A72" s="2">
        <v>2166.0</v>
      </c>
      <c r="B72" s="9" t="s">
        <v>659</v>
      </c>
      <c r="C72" s="2" t="s">
        <v>32</v>
      </c>
      <c r="D72" s="2" t="s">
        <v>32</v>
      </c>
      <c r="E72" s="2" t="s">
        <v>32</v>
      </c>
      <c r="J72" s="11">
        <v>793.0</v>
      </c>
      <c r="K72" s="12" t="s">
        <v>690</v>
      </c>
      <c r="L72" s="2" t="s">
        <v>32</v>
      </c>
      <c r="M72" s="2" t="s">
        <v>32</v>
      </c>
      <c r="N72" s="2" t="s">
        <v>32</v>
      </c>
    </row>
    <row r="73">
      <c r="A73" s="2">
        <v>2177.0</v>
      </c>
      <c r="B73" s="9" t="s">
        <v>138</v>
      </c>
      <c r="C73" s="2" t="s">
        <v>32</v>
      </c>
      <c r="D73" s="2" t="s">
        <v>32</v>
      </c>
      <c r="E73" s="2" t="s">
        <v>32</v>
      </c>
      <c r="J73" s="11">
        <v>83.0</v>
      </c>
      <c r="K73" s="12" t="s">
        <v>699</v>
      </c>
      <c r="L73" s="2" t="s">
        <v>32</v>
      </c>
      <c r="M73" s="2" t="s">
        <v>32</v>
      </c>
      <c r="N73" s="2" t="s">
        <v>32</v>
      </c>
    </row>
    <row r="74">
      <c r="A74" s="2">
        <v>2179.0</v>
      </c>
      <c r="B74" s="9" t="s">
        <v>76</v>
      </c>
      <c r="C74" s="2" t="s">
        <v>32</v>
      </c>
      <c r="D74" s="2" t="s">
        <v>32</v>
      </c>
      <c r="E74" s="2" t="s">
        <v>32</v>
      </c>
      <c r="J74" s="11">
        <v>87.0</v>
      </c>
      <c r="K74" s="12" t="s">
        <v>700</v>
      </c>
      <c r="L74" s="2" t="s">
        <v>32</v>
      </c>
      <c r="M74" s="2" t="s">
        <v>32</v>
      </c>
      <c r="N74" s="2" t="s">
        <v>32</v>
      </c>
    </row>
    <row r="75">
      <c r="A75" s="2">
        <v>2191.0</v>
      </c>
      <c r="B75" s="9" t="s">
        <v>650</v>
      </c>
      <c r="C75" s="2" t="s">
        <v>32</v>
      </c>
      <c r="D75" s="2" t="s">
        <v>32</v>
      </c>
      <c r="E75" s="2" t="s">
        <v>32</v>
      </c>
      <c r="J75" s="11">
        <v>878.0</v>
      </c>
      <c r="K75" s="12" t="s">
        <v>701</v>
      </c>
      <c r="L75" s="2" t="s">
        <v>32</v>
      </c>
      <c r="M75" s="2" t="s">
        <v>32</v>
      </c>
      <c r="N75" s="2" t="s">
        <v>32</v>
      </c>
    </row>
    <row r="76">
      <c r="A76" s="2">
        <v>2207.0</v>
      </c>
      <c r="B76" s="9" t="s">
        <v>604</v>
      </c>
      <c r="C76" s="2" t="s">
        <v>32</v>
      </c>
      <c r="D76" s="2" t="s">
        <v>32</v>
      </c>
      <c r="E76" s="2" t="s">
        <v>32</v>
      </c>
      <c r="J76" s="11">
        <v>91.0</v>
      </c>
      <c r="K76" s="12" t="s">
        <v>703</v>
      </c>
      <c r="L76" s="2" t="s">
        <v>32</v>
      </c>
      <c r="M76" s="2" t="s">
        <v>32</v>
      </c>
      <c r="N76" s="2" t="s">
        <v>32</v>
      </c>
    </row>
    <row r="77">
      <c r="A77" s="2">
        <v>2235.0</v>
      </c>
      <c r="B77" s="9" t="s">
        <v>146</v>
      </c>
      <c r="C77" s="2" t="s">
        <v>32</v>
      </c>
      <c r="D77" s="2" t="s">
        <v>32</v>
      </c>
      <c r="E77" s="2" t="s">
        <v>32</v>
      </c>
      <c r="J77" s="11">
        <v>921.0</v>
      </c>
      <c r="K77" s="12" t="s">
        <v>704</v>
      </c>
      <c r="L77" s="2" t="s">
        <v>32</v>
      </c>
      <c r="M77" s="2" t="s">
        <v>32</v>
      </c>
      <c r="N77" s="2" t="s">
        <v>32</v>
      </c>
    </row>
    <row r="78">
      <c r="A78" s="2">
        <v>2276.0</v>
      </c>
      <c r="B78" s="9" t="s">
        <v>385</v>
      </c>
      <c r="C78" s="2" t="s">
        <v>32</v>
      </c>
      <c r="D78" s="2" t="s">
        <v>32</v>
      </c>
      <c r="E78" s="2" t="s">
        <v>32</v>
      </c>
      <c r="J78" s="11">
        <v>923.0</v>
      </c>
      <c r="K78" s="12" t="s">
        <v>714</v>
      </c>
      <c r="L78" s="2" t="s">
        <v>32</v>
      </c>
      <c r="M78" s="2" t="s">
        <v>32</v>
      </c>
      <c r="N78" s="2" t="s">
        <v>32</v>
      </c>
    </row>
    <row r="79">
      <c r="A79" s="2">
        <v>2296.0</v>
      </c>
      <c r="B79" s="9" t="s">
        <v>266</v>
      </c>
      <c r="C79" s="2" t="s">
        <v>32</v>
      </c>
      <c r="D79" s="2" t="s">
        <v>32</v>
      </c>
      <c r="E79" s="2" t="s">
        <v>32</v>
      </c>
      <c r="J79" s="11">
        <v>928.0</v>
      </c>
      <c r="K79" s="12" t="s">
        <v>715</v>
      </c>
      <c r="L79" s="2" t="s">
        <v>32</v>
      </c>
      <c r="M79" s="2" t="s">
        <v>32</v>
      </c>
      <c r="N79" s="2" t="s">
        <v>32</v>
      </c>
    </row>
    <row r="80">
      <c r="A80" s="2">
        <v>231.0</v>
      </c>
      <c r="B80" s="9" t="s">
        <v>653</v>
      </c>
      <c r="C80" s="2" t="s">
        <v>32</v>
      </c>
      <c r="D80" s="2" t="s">
        <v>32</v>
      </c>
      <c r="E80" s="2" t="s">
        <v>32</v>
      </c>
      <c r="J80" s="11">
        <v>942.0</v>
      </c>
      <c r="K80" s="12" t="s">
        <v>716</v>
      </c>
      <c r="L80" s="2" t="s">
        <v>32</v>
      </c>
      <c r="M80" s="2" t="s">
        <v>32</v>
      </c>
      <c r="N80" s="2" t="s">
        <v>32</v>
      </c>
    </row>
    <row r="81">
      <c r="A81" s="2">
        <v>2330.0</v>
      </c>
      <c r="B81" s="9" t="s">
        <v>425</v>
      </c>
      <c r="C81" s="2" t="s">
        <v>32</v>
      </c>
      <c r="D81" s="2" t="s">
        <v>32</v>
      </c>
      <c r="E81" s="2" t="s">
        <v>32</v>
      </c>
      <c r="J81" s="11">
        <v>974.0</v>
      </c>
      <c r="K81" s="12" t="s">
        <v>717</v>
      </c>
      <c r="L81" s="2" t="s">
        <v>32</v>
      </c>
      <c r="M81" s="2" t="s">
        <v>32</v>
      </c>
      <c r="N81" s="2" t="s">
        <v>32</v>
      </c>
    </row>
    <row r="82">
      <c r="A82" s="2">
        <v>237.0</v>
      </c>
      <c r="B82" s="9" t="s">
        <v>530</v>
      </c>
      <c r="C82" s="2" t="s">
        <v>32</v>
      </c>
      <c r="D82" s="2" t="s">
        <v>32</v>
      </c>
      <c r="E82" s="2" t="s">
        <v>32</v>
      </c>
      <c r="J82" s="11">
        <v>1016.0</v>
      </c>
      <c r="K82" s="12" t="s">
        <v>718</v>
      </c>
      <c r="L82" s="2" t="s">
        <v>32</v>
      </c>
      <c r="M82" s="2" t="s">
        <v>32</v>
      </c>
      <c r="N82" s="2" t="s">
        <v>32</v>
      </c>
    </row>
    <row r="83">
      <c r="A83" s="2">
        <v>240.0</v>
      </c>
      <c r="B83" s="9" t="s">
        <v>630</v>
      </c>
      <c r="C83" s="2" t="s">
        <v>32</v>
      </c>
      <c r="D83" s="2" t="s">
        <v>32</v>
      </c>
      <c r="E83" s="2" t="s">
        <v>32</v>
      </c>
      <c r="J83" s="11">
        <v>1059.0</v>
      </c>
      <c r="K83" s="12" t="s">
        <v>719</v>
      </c>
      <c r="L83" s="2" t="s">
        <v>32</v>
      </c>
      <c r="M83" s="2" t="s">
        <v>32</v>
      </c>
      <c r="N83" s="2" t="s">
        <v>32</v>
      </c>
    </row>
    <row r="84">
      <c r="A84" s="2">
        <v>2434.0</v>
      </c>
      <c r="B84" s="9" t="s">
        <v>553</v>
      </c>
      <c r="C84" s="2" t="s">
        <v>32</v>
      </c>
      <c r="D84" s="2" t="s">
        <v>32</v>
      </c>
      <c r="E84" s="2" t="s">
        <v>32</v>
      </c>
      <c r="J84" s="11">
        <v>1112.0</v>
      </c>
      <c r="K84" s="12" t="s">
        <v>720</v>
      </c>
      <c r="L84" s="2" t="s">
        <v>32</v>
      </c>
      <c r="M84" s="2" t="s">
        <v>32</v>
      </c>
      <c r="N84" s="2" t="s">
        <v>32</v>
      </c>
    </row>
    <row r="85">
      <c r="A85" s="2">
        <v>2561.0</v>
      </c>
      <c r="B85" s="9" t="s">
        <v>487</v>
      </c>
      <c r="C85" s="2" t="s">
        <v>32</v>
      </c>
      <c r="D85" s="2" t="s">
        <v>32</v>
      </c>
      <c r="E85" s="2" t="s">
        <v>32</v>
      </c>
      <c r="J85" s="11">
        <v>1115.0</v>
      </c>
      <c r="K85" s="12" t="s">
        <v>721</v>
      </c>
      <c r="L85" s="2" t="s">
        <v>32</v>
      </c>
      <c r="M85" s="2" t="s">
        <v>32</v>
      </c>
      <c r="N85" s="2" t="s">
        <v>32</v>
      </c>
    </row>
    <row r="86">
      <c r="A86" s="2">
        <v>2587.0</v>
      </c>
      <c r="B86" s="9" t="s">
        <v>110</v>
      </c>
      <c r="C86" s="2" t="s">
        <v>32</v>
      </c>
      <c r="D86" s="2" t="s">
        <v>32</v>
      </c>
      <c r="E86" s="2" t="s">
        <v>32</v>
      </c>
      <c r="J86" s="11">
        <v>1148.0</v>
      </c>
      <c r="K86" s="12" t="s">
        <v>722</v>
      </c>
      <c r="L86" s="2" t="s">
        <v>32</v>
      </c>
      <c r="M86" s="2" t="s">
        <v>32</v>
      </c>
      <c r="N86" s="2" t="s">
        <v>32</v>
      </c>
    </row>
    <row r="87">
      <c r="A87" s="2">
        <v>2635.0</v>
      </c>
      <c r="B87" s="9" t="s">
        <v>561</v>
      </c>
      <c r="C87" s="2" t="s">
        <v>32</v>
      </c>
      <c r="D87" s="2" t="s">
        <v>32</v>
      </c>
      <c r="E87" s="2" t="s">
        <v>32</v>
      </c>
      <c r="J87" s="11">
        <v>1174.0</v>
      </c>
      <c r="K87" s="12" t="s">
        <v>723</v>
      </c>
      <c r="L87" s="2" t="s">
        <v>32</v>
      </c>
      <c r="M87" s="2" t="s">
        <v>32</v>
      </c>
      <c r="N87" s="2" t="s">
        <v>32</v>
      </c>
    </row>
    <row r="88">
      <c r="A88" s="2">
        <v>2652.0</v>
      </c>
      <c r="B88" s="9" t="s">
        <v>498</v>
      </c>
      <c r="C88" s="2" t="s">
        <v>32</v>
      </c>
      <c r="D88" s="2" t="s">
        <v>32</v>
      </c>
      <c r="E88" s="2" t="s">
        <v>32</v>
      </c>
      <c r="J88" s="11">
        <v>1220.0</v>
      </c>
      <c r="K88" s="12" t="s">
        <v>724</v>
      </c>
      <c r="L88" s="2" t="s">
        <v>32</v>
      </c>
      <c r="M88" s="2" t="s">
        <v>32</v>
      </c>
      <c r="N88" s="2" t="s">
        <v>32</v>
      </c>
    </row>
    <row r="89">
      <c r="A89" s="2">
        <v>266.0</v>
      </c>
      <c r="B89" s="9" t="s">
        <v>643</v>
      </c>
      <c r="C89" s="2" t="s">
        <v>32</v>
      </c>
      <c r="D89" s="2" t="s">
        <v>32</v>
      </c>
      <c r="E89" s="2" t="s">
        <v>32</v>
      </c>
      <c r="J89" s="11">
        <v>1275.0</v>
      </c>
      <c r="K89" s="12" t="s">
        <v>725</v>
      </c>
      <c r="L89" s="2" t="s">
        <v>32</v>
      </c>
      <c r="M89" s="2" t="s">
        <v>32</v>
      </c>
      <c r="N89" s="2" t="s">
        <v>32</v>
      </c>
    </row>
    <row r="90">
      <c r="A90" s="2">
        <v>270.0</v>
      </c>
      <c r="B90" s="9" t="s">
        <v>542</v>
      </c>
      <c r="C90" s="2" t="s">
        <v>32</v>
      </c>
      <c r="D90" s="2" t="s">
        <v>32</v>
      </c>
      <c r="E90" s="2" t="s">
        <v>32</v>
      </c>
      <c r="J90" s="11">
        <v>1327.0</v>
      </c>
      <c r="K90" s="12" t="s">
        <v>726</v>
      </c>
      <c r="L90" s="2" t="s">
        <v>32</v>
      </c>
      <c r="M90" s="2" t="s">
        <v>32</v>
      </c>
      <c r="N90" s="2" t="s">
        <v>32</v>
      </c>
    </row>
    <row r="91">
      <c r="A91" s="2">
        <v>2789.0</v>
      </c>
      <c r="B91" s="9" t="s">
        <v>273</v>
      </c>
      <c r="C91" s="2" t="s">
        <v>32</v>
      </c>
      <c r="D91" s="2" t="s">
        <v>32</v>
      </c>
      <c r="E91" s="2" t="s">
        <v>32</v>
      </c>
      <c r="J91" s="11">
        <v>1430.0</v>
      </c>
      <c r="K91" s="12" t="s">
        <v>727</v>
      </c>
      <c r="L91" s="2" t="s">
        <v>32</v>
      </c>
      <c r="M91" s="2" t="s">
        <v>32</v>
      </c>
      <c r="N91" s="2" t="s">
        <v>32</v>
      </c>
    </row>
    <row r="92">
      <c r="A92" s="2">
        <v>2899.0</v>
      </c>
      <c r="B92" s="9" t="s">
        <v>509</v>
      </c>
      <c r="C92" s="2" t="s">
        <v>32</v>
      </c>
      <c r="D92" s="2" t="s">
        <v>32</v>
      </c>
      <c r="E92" s="2" t="s">
        <v>32</v>
      </c>
      <c r="J92" s="11">
        <v>149.0</v>
      </c>
      <c r="K92" s="12" t="s">
        <v>729</v>
      </c>
      <c r="L92" s="2" t="s">
        <v>32</v>
      </c>
      <c r="M92" s="2" t="s">
        <v>32</v>
      </c>
      <c r="N92" s="2" t="s">
        <v>32</v>
      </c>
    </row>
    <row r="93">
      <c r="A93" s="2">
        <v>29.0</v>
      </c>
      <c r="B93" s="9" t="s">
        <v>638</v>
      </c>
      <c r="C93" s="2" t="s">
        <v>32</v>
      </c>
      <c r="D93" s="2" t="s">
        <v>32</v>
      </c>
      <c r="E93" s="2" t="s">
        <v>32</v>
      </c>
      <c r="J93" s="11">
        <v>1539.0</v>
      </c>
      <c r="K93" s="12" t="s">
        <v>730</v>
      </c>
      <c r="L93" s="2" t="s">
        <v>32</v>
      </c>
      <c r="M93" s="2" t="s">
        <v>32</v>
      </c>
      <c r="N93" s="2" t="s">
        <v>32</v>
      </c>
    </row>
    <row r="94">
      <c r="A94" s="2">
        <v>2910.0</v>
      </c>
      <c r="B94" s="8" t="s">
        <v>64</v>
      </c>
      <c r="C94" s="2" t="s">
        <v>32</v>
      </c>
      <c r="D94" s="2" t="s">
        <v>41</v>
      </c>
      <c r="E94" s="2" t="s">
        <v>32</v>
      </c>
      <c r="F94" s="2" t="s">
        <v>731</v>
      </c>
      <c r="J94" s="11">
        <v>160.0</v>
      </c>
      <c r="K94" s="12" t="s">
        <v>732</v>
      </c>
      <c r="L94" s="2" t="s">
        <v>32</v>
      </c>
      <c r="M94" s="2" t="s">
        <v>32</v>
      </c>
      <c r="N94" s="2" t="s">
        <v>32</v>
      </c>
    </row>
    <row r="95">
      <c r="A95" s="2">
        <v>2968.0</v>
      </c>
      <c r="B95" s="9" t="s">
        <v>632</v>
      </c>
      <c r="C95" s="2" t="s">
        <v>32</v>
      </c>
      <c r="D95" s="2" t="s">
        <v>32</v>
      </c>
      <c r="E95" s="2" t="s">
        <v>32</v>
      </c>
      <c r="J95" s="11">
        <v>166.0</v>
      </c>
      <c r="K95" s="12" t="s">
        <v>733</v>
      </c>
      <c r="L95" s="2" t="s">
        <v>32</v>
      </c>
      <c r="M95" s="2" t="s">
        <v>32</v>
      </c>
      <c r="N95" s="2" t="s">
        <v>32</v>
      </c>
    </row>
    <row r="96">
      <c r="A96" s="2">
        <v>298.0</v>
      </c>
      <c r="B96" s="9" t="s">
        <v>299</v>
      </c>
      <c r="C96" s="2" t="s">
        <v>32</v>
      </c>
      <c r="D96" s="2" t="s">
        <v>32</v>
      </c>
      <c r="E96" s="2" t="s">
        <v>32</v>
      </c>
      <c r="J96" s="11">
        <v>184.0</v>
      </c>
      <c r="K96" s="12" t="s">
        <v>734</v>
      </c>
      <c r="L96" s="2" t="s">
        <v>41</v>
      </c>
      <c r="M96" s="2" t="s">
        <v>41</v>
      </c>
      <c r="N96" s="2" t="s">
        <v>41</v>
      </c>
    </row>
    <row r="97">
      <c r="A97" s="2">
        <v>3112.0</v>
      </c>
      <c r="B97" s="9" t="s">
        <v>120</v>
      </c>
      <c r="C97" s="2" t="s">
        <v>32</v>
      </c>
      <c r="D97" s="2" t="s">
        <v>32</v>
      </c>
      <c r="E97" s="2" t="s">
        <v>32</v>
      </c>
      <c r="J97" s="11">
        <v>211.0</v>
      </c>
      <c r="K97" s="12" t="s">
        <v>735</v>
      </c>
      <c r="L97" s="2" t="s">
        <v>32</v>
      </c>
      <c r="M97" s="2" t="s">
        <v>32</v>
      </c>
      <c r="N97" s="2" t="s">
        <v>32</v>
      </c>
    </row>
    <row r="98">
      <c r="A98" s="2">
        <v>322.0</v>
      </c>
      <c r="B98" s="9" t="s">
        <v>350</v>
      </c>
      <c r="C98" s="2" t="s">
        <v>32</v>
      </c>
      <c r="D98" s="2" t="s">
        <v>32</v>
      </c>
      <c r="E98" s="2" t="s">
        <v>32</v>
      </c>
      <c r="J98" s="11">
        <v>220.0</v>
      </c>
      <c r="K98" s="12" t="s">
        <v>736</v>
      </c>
      <c r="L98" s="2" t="s">
        <v>32</v>
      </c>
      <c r="M98" s="2" t="s">
        <v>32</v>
      </c>
      <c r="N98" s="2" t="s">
        <v>32</v>
      </c>
    </row>
    <row r="99">
      <c r="A99" s="2">
        <v>3226.0</v>
      </c>
      <c r="B99" s="9" t="s">
        <v>673</v>
      </c>
      <c r="C99" s="2" t="s">
        <v>32</v>
      </c>
      <c r="D99" s="2" t="s">
        <v>32</v>
      </c>
      <c r="E99" s="2" t="s">
        <v>32</v>
      </c>
      <c r="J99" s="11">
        <v>245.0</v>
      </c>
      <c r="K99" s="12" t="s">
        <v>737</v>
      </c>
      <c r="L99" s="2" t="s">
        <v>32</v>
      </c>
      <c r="M99" s="2" t="s">
        <v>32</v>
      </c>
      <c r="N99" s="2" t="s">
        <v>32</v>
      </c>
    </row>
    <row r="100">
      <c r="A100" s="2">
        <v>3266.0</v>
      </c>
      <c r="B100" s="9" t="s">
        <v>622</v>
      </c>
      <c r="C100" s="2" t="s">
        <v>32</v>
      </c>
      <c r="D100" s="2" t="s">
        <v>32</v>
      </c>
      <c r="E100" s="2" t="s">
        <v>32</v>
      </c>
      <c r="J100" s="11">
        <v>253.0</v>
      </c>
      <c r="K100" s="12" t="s">
        <v>738</v>
      </c>
      <c r="L100" s="2" t="s">
        <v>32</v>
      </c>
      <c r="M100" s="2" t="s">
        <v>32</v>
      </c>
      <c r="N100" s="2" t="s">
        <v>32</v>
      </c>
    </row>
    <row r="101">
      <c r="A101" s="2">
        <v>33.0</v>
      </c>
      <c r="B101" s="9" t="s">
        <v>331</v>
      </c>
      <c r="C101" s="2" t="s">
        <v>32</v>
      </c>
      <c r="D101" s="2" t="s">
        <v>32</v>
      </c>
      <c r="E101" s="2" t="s">
        <v>32</v>
      </c>
      <c r="J101" s="11">
        <v>259.0</v>
      </c>
      <c r="K101" s="12" t="s">
        <v>739</v>
      </c>
      <c r="L101" s="2" t="s">
        <v>32</v>
      </c>
      <c r="M101" s="2" t="s">
        <v>32</v>
      </c>
      <c r="N101" s="2" t="s">
        <v>32</v>
      </c>
    </row>
    <row r="102">
      <c r="A102" s="2">
        <v>337.0</v>
      </c>
      <c r="B102" s="9" t="s">
        <v>503</v>
      </c>
      <c r="C102" s="2" t="s">
        <v>32</v>
      </c>
      <c r="D102" s="2" t="s">
        <v>32</v>
      </c>
      <c r="E102" s="2" t="s">
        <v>32</v>
      </c>
      <c r="J102" s="11">
        <v>2598.0</v>
      </c>
      <c r="K102" s="12" t="s">
        <v>740</v>
      </c>
      <c r="L102" s="2" t="s">
        <v>32</v>
      </c>
      <c r="M102" s="2" t="s">
        <v>32</v>
      </c>
      <c r="N102" s="2" t="s">
        <v>32</v>
      </c>
    </row>
    <row r="103">
      <c r="A103" s="2">
        <v>3388.0</v>
      </c>
      <c r="B103" s="9" t="s">
        <v>150</v>
      </c>
      <c r="C103" s="2" t="s">
        <v>32</v>
      </c>
      <c r="D103" s="2" t="s">
        <v>32</v>
      </c>
      <c r="E103" s="2" t="s">
        <v>32</v>
      </c>
      <c r="J103" s="11">
        <v>266.0</v>
      </c>
      <c r="K103" s="12" t="s">
        <v>742</v>
      </c>
      <c r="L103" s="2" t="s">
        <v>32</v>
      </c>
      <c r="M103" s="2" t="s">
        <v>32</v>
      </c>
      <c r="N103" s="2" t="s">
        <v>32</v>
      </c>
    </row>
    <row r="104">
      <c r="A104" s="2">
        <v>3391.0</v>
      </c>
      <c r="B104" s="9" t="s">
        <v>72</v>
      </c>
      <c r="C104" s="2" t="s">
        <v>32</v>
      </c>
      <c r="D104" s="2" t="s">
        <v>32</v>
      </c>
      <c r="E104" s="2" t="s">
        <v>32</v>
      </c>
      <c r="J104" s="11">
        <v>270.0</v>
      </c>
      <c r="K104" s="12" t="s">
        <v>749</v>
      </c>
      <c r="L104" s="2" t="s">
        <v>32</v>
      </c>
      <c r="M104" s="2" t="s">
        <v>32</v>
      </c>
      <c r="N104" s="2" t="s">
        <v>32</v>
      </c>
    </row>
    <row r="105">
      <c r="A105" s="2">
        <v>3425.0</v>
      </c>
      <c r="B105" s="8" t="s">
        <v>115</v>
      </c>
      <c r="C105" s="2" t="s">
        <v>32</v>
      </c>
      <c r="D105" s="2" t="s">
        <v>32</v>
      </c>
      <c r="E105" s="2" t="s">
        <v>32</v>
      </c>
      <c r="J105" s="11">
        <v>2864.0</v>
      </c>
      <c r="K105" s="12" t="s">
        <v>761</v>
      </c>
      <c r="L105" s="2" t="s">
        <v>32</v>
      </c>
      <c r="M105" s="2" t="s">
        <v>32</v>
      </c>
      <c r="N105" s="2" t="s">
        <v>32</v>
      </c>
    </row>
    <row r="106">
      <c r="A106" s="2">
        <v>3493.0</v>
      </c>
      <c r="B106" s="9" t="s">
        <v>618</v>
      </c>
      <c r="C106" s="2" t="s">
        <v>32</v>
      </c>
      <c r="D106" s="2" t="s">
        <v>32</v>
      </c>
      <c r="E106" s="2" t="s">
        <v>32</v>
      </c>
      <c r="J106" s="11">
        <v>298.0</v>
      </c>
      <c r="K106" s="12" t="s">
        <v>770</v>
      </c>
      <c r="L106" s="2" t="s">
        <v>32</v>
      </c>
      <c r="M106" s="2" t="s">
        <v>32</v>
      </c>
      <c r="N106" s="2" t="s">
        <v>32</v>
      </c>
    </row>
    <row r="107">
      <c r="A107" s="2">
        <v>350.0</v>
      </c>
      <c r="B107" s="9" t="s">
        <v>368</v>
      </c>
      <c r="C107" s="2" t="s">
        <v>32</v>
      </c>
      <c r="D107" s="2" t="s">
        <v>32</v>
      </c>
      <c r="E107" s="2" t="s">
        <v>32</v>
      </c>
      <c r="J107" s="11">
        <v>3005.0</v>
      </c>
      <c r="K107" s="12" t="s">
        <v>776</v>
      </c>
      <c r="L107" s="2" t="s">
        <v>32</v>
      </c>
      <c r="M107" s="2" t="s">
        <v>32</v>
      </c>
      <c r="N107" s="2" t="s">
        <v>32</v>
      </c>
    </row>
    <row r="108">
      <c r="A108" s="2">
        <v>3828.0</v>
      </c>
      <c r="B108" s="8" t="s">
        <v>10</v>
      </c>
      <c r="C108" s="2" t="s">
        <v>32</v>
      </c>
      <c r="D108" s="2" t="s">
        <v>32</v>
      </c>
      <c r="E108" s="2" t="s">
        <v>32</v>
      </c>
      <c r="J108" s="11">
        <v>302.0</v>
      </c>
      <c r="K108" s="12" t="s">
        <v>778</v>
      </c>
      <c r="L108" s="2" t="s">
        <v>32</v>
      </c>
      <c r="M108" s="2" t="s">
        <v>32</v>
      </c>
      <c r="N108" s="2" t="s">
        <v>32</v>
      </c>
    </row>
    <row r="109">
      <c r="A109" s="2">
        <v>388.0</v>
      </c>
      <c r="B109" s="9" t="s">
        <v>434</v>
      </c>
      <c r="C109" s="2" t="s">
        <v>32</v>
      </c>
      <c r="D109" s="2" t="s">
        <v>32</v>
      </c>
      <c r="E109" s="2" t="s">
        <v>32</v>
      </c>
      <c r="J109" s="11">
        <v>322.0</v>
      </c>
      <c r="K109" s="12" t="s">
        <v>780</v>
      </c>
      <c r="L109" s="2" t="s">
        <v>32</v>
      </c>
      <c r="M109" s="2" t="s">
        <v>32</v>
      </c>
      <c r="N109" s="2" t="s">
        <v>32</v>
      </c>
    </row>
    <row r="110">
      <c r="A110" s="2">
        <v>3899.0</v>
      </c>
      <c r="B110" s="9" t="s">
        <v>669</v>
      </c>
      <c r="C110" s="2" t="s">
        <v>32</v>
      </c>
      <c r="D110" s="2" t="s">
        <v>32</v>
      </c>
      <c r="E110" s="2" t="s">
        <v>32</v>
      </c>
      <c r="J110" s="11">
        <v>3415.0</v>
      </c>
      <c r="K110" s="12" t="s">
        <v>782</v>
      </c>
      <c r="L110" s="2" t="s">
        <v>32</v>
      </c>
      <c r="M110" s="2" t="s">
        <v>32</v>
      </c>
      <c r="N110" s="2" t="s">
        <v>32</v>
      </c>
    </row>
    <row r="111">
      <c r="A111" s="2">
        <v>3938.0</v>
      </c>
      <c r="B111" s="9" t="s">
        <v>131</v>
      </c>
      <c r="C111" s="2" t="s">
        <v>32</v>
      </c>
      <c r="D111" s="2" t="s">
        <v>32</v>
      </c>
      <c r="E111" s="2" t="s">
        <v>32</v>
      </c>
      <c r="J111" s="11">
        <v>3584.0</v>
      </c>
      <c r="K111" s="12" t="s">
        <v>783</v>
      </c>
      <c r="L111" s="2" t="s">
        <v>32</v>
      </c>
      <c r="M111" s="2" t="s">
        <v>32</v>
      </c>
      <c r="N111" s="2" t="s">
        <v>32</v>
      </c>
    </row>
    <row r="112">
      <c r="A112" s="2">
        <v>4109.0</v>
      </c>
      <c r="B112" s="9" t="s">
        <v>178</v>
      </c>
      <c r="C112" s="2" t="s">
        <v>32</v>
      </c>
      <c r="D112" s="2" t="s">
        <v>32</v>
      </c>
      <c r="E112" s="2" t="s">
        <v>32</v>
      </c>
      <c r="J112" s="11">
        <v>3633.0</v>
      </c>
      <c r="K112" s="12" t="s">
        <v>784</v>
      </c>
      <c r="L112" s="2" t="s">
        <v>32</v>
      </c>
      <c r="M112" s="2" t="s">
        <v>32</v>
      </c>
      <c r="N112" s="2" t="s">
        <v>32</v>
      </c>
    </row>
    <row r="113">
      <c r="A113" s="2">
        <v>411.0</v>
      </c>
      <c r="B113" s="9" t="s">
        <v>514</v>
      </c>
      <c r="C113" s="2" t="s">
        <v>32</v>
      </c>
      <c r="D113" s="2" t="s">
        <v>32</v>
      </c>
      <c r="E113" s="2" t="s">
        <v>32</v>
      </c>
      <c r="J113" s="11">
        <v>3662.0</v>
      </c>
      <c r="K113" s="12" t="s">
        <v>785</v>
      </c>
      <c r="L113" s="2" t="s">
        <v>41</v>
      </c>
      <c r="M113" s="2" t="s">
        <v>41</v>
      </c>
      <c r="N113" s="2" t="s">
        <v>41</v>
      </c>
    </row>
    <row r="114">
      <c r="A114" s="2">
        <v>529.0</v>
      </c>
      <c r="B114" s="9" t="s">
        <v>60</v>
      </c>
      <c r="C114" s="2" t="s">
        <v>32</v>
      </c>
      <c r="D114" s="2" t="s">
        <v>32</v>
      </c>
      <c r="E114" s="2" t="s">
        <v>32</v>
      </c>
      <c r="J114" s="11">
        <v>3807.0</v>
      </c>
      <c r="K114" s="12" t="s">
        <v>787</v>
      </c>
      <c r="L114" s="2" t="s">
        <v>32</v>
      </c>
      <c r="M114" s="2" t="s">
        <v>32</v>
      </c>
      <c r="N114" s="2" t="s">
        <v>32</v>
      </c>
    </row>
    <row r="115">
      <c r="A115" s="2">
        <v>563.0</v>
      </c>
      <c r="B115" s="9" t="s">
        <v>593</v>
      </c>
      <c r="C115" s="2" t="s">
        <v>32</v>
      </c>
      <c r="D115" s="2" t="s">
        <v>32</v>
      </c>
      <c r="E115" s="2" t="s">
        <v>32</v>
      </c>
      <c r="J115" s="11">
        <v>3836.0</v>
      </c>
      <c r="K115" s="12" t="s">
        <v>788</v>
      </c>
      <c r="L115" s="2" t="s">
        <v>32</v>
      </c>
      <c r="M115" s="2" t="s">
        <v>32</v>
      </c>
      <c r="N115" s="2" t="s">
        <v>32</v>
      </c>
    </row>
    <row r="116">
      <c r="A116" s="2">
        <v>563.0</v>
      </c>
      <c r="B116" s="9" t="s">
        <v>626</v>
      </c>
      <c r="C116" s="2" t="s">
        <v>32</v>
      </c>
      <c r="D116" s="2" t="s">
        <v>32</v>
      </c>
      <c r="E116" s="2" t="s">
        <v>32</v>
      </c>
      <c r="J116" s="11">
        <v>4182.0</v>
      </c>
      <c r="K116" s="12" t="s">
        <v>789</v>
      </c>
      <c r="L116" s="2" t="s">
        <v>32</v>
      </c>
      <c r="M116" s="2" t="s">
        <v>32</v>
      </c>
      <c r="N116" s="2" t="s">
        <v>32</v>
      </c>
    </row>
    <row r="117">
      <c r="A117" s="2">
        <v>5700.0</v>
      </c>
      <c r="B117" s="9" t="s">
        <v>674</v>
      </c>
      <c r="C117" s="2" t="s">
        <v>32</v>
      </c>
      <c r="D117" s="2" t="s">
        <v>32</v>
      </c>
      <c r="E117" s="2" t="s">
        <v>32</v>
      </c>
      <c r="J117" s="11">
        <v>43.0</v>
      </c>
      <c r="K117" s="12" t="s">
        <v>790</v>
      </c>
      <c r="L117" s="2" t="s">
        <v>32</v>
      </c>
      <c r="M117" s="2" t="s">
        <v>32</v>
      </c>
      <c r="N117" s="2" t="s">
        <v>32</v>
      </c>
    </row>
    <row r="118">
      <c r="A118" s="2">
        <v>5784.0</v>
      </c>
      <c r="B118" s="9" t="s">
        <v>536</v>
      </c>
      <c r="C118" s="2" t="s">
        <v>32</v>
      </c>
      <c r="D118" s="2" t="s">
        <v>32</v>
      </c>
      <c r="E118" s="2" t="s">
        <v>32</v>
      </c>
      <c r="J118" s="11">
        <v>4334.0</v>
      </c>
      <c r="K118" s="12" t="s">
        <v>791</v>
      </c>
      <c r="L118" s="2" t="s">
        <v>32</v>
      </c>
      <c r="M118" s="2" t="s">
        <v>32</v>
      </c>
      <c r="N118" s="2" t="s">
        <v>32</v>
      </c>
    </row>
    <row r="119">
      <c r="A119" s="2">
        <v>5787.0</v>
      </c>
      <c r="B119" s="9" t="s">
        <v>671</v>
      </c>
      <c r="C119" s="2" t="s">
        <v>32</v>
      </c>
      <c r="D119" s="2" t="s">
        <v>32</v>
      </c>
      <c r="E119" s="2" t="s">
        <v>32</v>
      </c>
      <c r="J119" s="11">
        <v>442.0</v>
      </c>
      <c r="K119" s="12" t="s">
        <v>792</v>
      </c>
      <c r="L119" s="2" t="s">
        <v>32</v>
      </c>
      <c r="M119" s="2" t="s">
        <v>32</v>
      </c>
      <c r="N119" s="2" t="s">
        <v>32</v>
      </c>
    </row>
    <row r="120">
      <c r="A120" s="2">
        <v>579.0</v>
      </c>
      <c r="B120" s="9" t="s">
        <v>357</v>
      </c>
      <c r="C120" s="2" t="s">
        <v>32</v>
      </c>
      <c r="D120" s="2" t="s">
        <v>32</v>
      </c>
      <c r="E120" s="2" t="s">
        <v>32</v>
      </c>
      <c r="J120" s="11">
        <v>4947.0</v>
      </c>
      <c r="K120" s="12" t="s">
        <v>793</v>
      </c>
      <c r="L120" s="2" t="s">
        <v>32</v>
      </c>
      <c r="M120" s="2" t="s">
        <v>32</v>
      </c>
      <c r="N120" s="2" t="s">
        <v>32</v>
      </c>
    </row>
    <row r="121">
      <c r="A121" s="2">
        <v>590.0</v>
      </c>
      <c r="B121" s="9" t="s">
        <v>185</v>
      </c>
      <c r="C121" s="2" t="s">
        <v>41</v>
      </c>
      <c r="D121" s="2" t="s">
        <v>32</v>
      </c>
      <c r="E121" s="2" t="s">
        <v>41</v>
      </c>
      <c r="F121" s="2" t="s">
        <v>802</v>
      </c>
      <c r="J121" s="11">
        <v>5178.0</v>
      </c>
      <c r="K121" s="12" t="s">
        <v>794</v>
      </c>
      <c r="L121" s="2" t="s">
        <v>32</v>
      </c>
      <c r="M121" s="2" t="s">
        <v>32</v>
      </c>
      <c r="N121" s="2" t="s">
        <v>32</v>
      </c>
    </row>
    <row r="122">
      <c r="A122" s="2">
        <v>596.0</v>
      </c>
      <c r="B122" s="9" t="s">
        <v>201</v>
      </c>
      <c r="C122" s="2" t="s">
        <v>32</v>
      </c>
      <c r="D122" s="2" t="s">
        <v>32</v>
      </c>
      <c r="E122" s="2" t="s">
        <v>32</v>
      </c>
      <c r="J122" s="11">
        <v>5338.0</v>
      </c>
      <c r="K122" s="12" t="s">
        <v>795</v>
      </c>
      <c r="L122" s="2" t="s">
        <v>32</v>
      </c>
      <c r="M122" s="2" t="s">
        <v>32</v>
      </c>
      <c r="N122" s="2" t="s">
        <v>32</v>
      </c>
    </row>
    <row r="123">
      <c r="A123" s="2">
        <v>6050.0</v>
      </c>
      <c r="B123" s="9" t="s">
        <v>578</v>
      </c>
      <c r="C123" s="2" t="s">
        <v>32</v>
      </c>
      <c r="D123" s="2" t="s">
        <v>32</v>
      </c>
      <c r="E123" s="2" t="s">
        <v>32</v>
      </c>
      <c r="J123" s="11">
        <v>5343.0</v>
      </c>
      <c r="K123" s="12" t="s">
        <v>796</v>
      </c>
      <c r="L123" s="2" t="s">
        <v>32</v>
      </c>
      <c r="M123" s="2" t="s">
        <v>32</v>
      </c>
      <c r="N123" s="2" t="s">
        <v>32</v>
      </c>
    </row>
    <row r="124">
      <c r="A124" s="2">
        <v>6585.0</v>
      </c>
      <c r="B124" s="9" t="s">
        <v>611</v>
      </c>
      <c r="C124" s="2" t="s">
        <v>32</v>
      </c>
      <c r="D124" s="2" t="s">
        <v>32</v>
      </c>
      <c r="E124" s="2" t="s">
        <v>32</v>
      </c>
      <c r="J124" s="11">
        <v>536.0</v>
      </c>
      <c r="K124" s="12" t="s">
        <v>797</v>
      </c>
      <c r="L124" s="2" t="s">
        <v>32</v>
      </c>
      <c r="M124" s="2" t="s">
        <v>32</v>
      </c>
      <c r="N124" s="2" t="s">
        <v>32</v>
      </c>
    </row>
    <row r="125">
      <c r="A125" s="2">
        <v>667.0</v>
      </c>
      <c r="B125" s="9" t="s">
        <v>169</v>
      </c>
      <c r="C125" s="2" t="s">
        <v>32</v>
      </c>
      <c r="D125" s="2" t="s">
        <v>32</v>
      </c>
      <c r="E125" s="2" t="s">
        <v>32</v>
      </c>
      <c r="J125" s="11">
        <v>5452.0</v>
      </c>
      <c r="K125" s="12" t="s">
        <v>798</v>
      </c>
      <c r="L125" s="2" t="s">
        <v>32</v>
      </c>
      <c r="M125" s="2" t="s">
        <v>32</v>
      </c>
      <c r="N125" s="2" t="s">
        <v>32</v>
      </c>
    </row>
    <row r="126">
      <c r="A126" s="2">
        <v>70.0</v>
      </c>
      <c r="B126" s="9" t="s">
        <v>55</v>
      </c>
      <c r="C126" s="2" t="s">
        <v>41</v>
      </c>
      <c r="D126" s="2" t="s">
        <v>41</v>
      </c>
      <c r="E126" s="2" t="s">
        <v>41</v>
      </c>
      <c r="J126" s="11">
        <v>5489.0</v>
      </c>
      <c r="K126" s="12" t="s">
        <v>799</v>
      </c>
      <c r="L126" s="2" t="s">
        <v>32</v>
      </c>
      <c r="M126" s="2" t="s">
        <v>32</v>
      </c>
      <c r="N126" s="2" t="s">
        <v>32</v>
      </c>
    </row>
    <row r="127">
      <c r="A127" s="2">
        <v>71.0</v>
      </c>
      <c r="B127" s="9" t="s">
        <v>37</v>
      </c>
      <c r="C127" s="2" t="s">
        <v>32</v>
      </c>
      <c r="D127" s="2" t="s">
        <v>41</v>
      </c>
      <c r="E127" s="2" t="s">
        <v>41</v>
      </c>
      <c r="F127" s="2" t="s">
        <v>824</v>
      </c>
      <c r="J127" s="11">
        <v>5517.0</v>
      </c>
      <c r="K127" s="12" t="s">
        <v>800</v>
      </c>
      <c r="L127" s="2" t="s">
        <v>32</v>
      </c>
      <c r="M127" s="2" t="s">
        <v>32</v>
      </c>
      <c r="N127" s="2" t="s">
        <v>32</v>
      </c>
    </row>
    <row r="128">
      <c r="A128" s="2">
        <v>83.0</v>
      </c>
      <c r="B128" s="9" t="s">
        <v>135</v>
      </c>
      <c r="C128" s="2" t="s">
        <v>32</v>
      </c>
      <c r="D128" s="2" t="s">
        <v>32</v>
      </c>
      <c r="E128" s="2" t="s">
        <v>32</v>
      </c>
      <c r="J128" s="11">
        <v>5616.0</v>
      </c>
      <c r="K128" s="12" t="s">
        <v>801</v>
      </c>
      <c r="L128" s="2" t="s">
        <v>32</v>
      </c>
      <c r="M128" s="2" t="s">
        <v>32</v>
      </c>
      <c r="N128" s="2" t="s">
        <v>32</v>
      </c>
    </row>
    <row r="129">
      <c r="A129" s="2">
        <v>831.0</v>
      </c>
      <c r="B129" s="9" t="s">
        <v>195</v>
      </c>
      <c r="C129" s="2" t="s">
        <v>32</v>
      </c>
      <c r="D129" s="2" t="s">
        <v>32</v>
      </c>
      <c r="E129" s="2" t="s">
        <v>32</v>
      </c>
      <c r="J129" s="11">
        <v>5781.0</v>
      </c>
      <c r="K129" s="12" t="s">
        <v>803</v>
      </c>
      <c r="L129" s="2" t="s">
        <v>32</v>
      </c>
      <c r="M129" s="2" t="s">
        <v>32</v>
      </c>
      <c r="N129" s="2" t="s">
        <v>32</v>
      </c>
    </row>
    <row r="130">
      <c r="A130" s="2">
        <v>9.0</v>
      </c>
      <c r="B130" s="9" t="s">
        <v>375</v>
      </c>
      <c r="C130" s="2" t="s">
        <v>32</v>
      </c>
      <c r="D130" s="2" t="s">
        <v>32</v>
      </c>
      <c r="E130" s="2" t="s">
        <v>32</v>
      </c>
      <c r="J130" s="11">
        <v>5950.0</v>
      </c>
      <c r="K130" s="12" t="s">
        <v>804</v>
      </c>
      <c r="L130" s="2" t="s">
        <v>32</v>
      </c>
      <c r="M130" s="2" t="s">
        <v>32</v>
      </c>
      <c r="N130" s="2" t="s">
        <v>32</v>
      </c>
    </row>
    <row r="131">
      <c r="A131" s="2">
        <v>962.0</v>
      </c>
      <c r="B131" s="9" t="s">
        <v>656</v>
      </c>
      <c r="C131" s="2" t="s">
        <v>32</v>
      </c>
      <c r="D131" s="2" t="s">
        <v>32</v>
      </c>
      <c r="E131" s="2" t="s">
        <v>32</v>
      </c>
      <c r="J131" s="11">
        <v>596.0</v>
      </c>
      <c r="K131" s="12" t="s">
        <v>805</v>
      </c>
      <c r="L131" s="2" t="s">
        <v>32</v>
      </c>
      <c r="M131" s="2" t="s">
        <v>32</v>
      </c>
      <c r="N131" s="2" t="s">
        <v>32</v>
      </c>
    </row>
    <row r="132">
      <c r="A132" s="2">
        <v>974.0</v>
      </c>
      <c r="B132" s="8" t="s">
        <v>117</v>
      </c>
      <c r="C132" s="2" t="s">
        <v>32</v>
      </c>
      <c r="D132" s="2" t="s">
        <v>32</v>
      </c>
      <c r="E132" s="2" t="s">
        <v>32</v>
      </c>
      <c r="J132" s="11">
        <v>610.0</v>
      </c>
      <c r="K132" s="12" t="s">
        <v>806</v>
      </c>
      <c r="L132" s="2" t="s">
        <v>32</v>
      </c>
      <c r="M132" s="2" t="s">
        <v>32</v>
      </c>
      <c r="N132" s="2" t="s">
        <v>32</v>
      </c>
    </row>
    <row r="133">
      <c r="A133" s="2">
        <v>974.0</v>
      </c>
      <c r="B133" s="8" t="s">
        <v>547</v>
      </c>
      <c r="C133" s="2" t="s">
        <v>32</v>
      </c>
      <c r="D133" s="2" t="s">
        <v>32</v>
      </c>
      <c r="E133" s="2" t="s">
        <v>32</v>
      </c>
      <c r="J133" s="11">
        <v>650.0</v>
      </c>
      <c r="K133" s="12" t="s">
        <v>807</v>
      </c>
      <c r="L133" s="2" t="s">
        <v>32</v>
      </c>
      <c r="M133" s="2" t="s">
        <v>32</v>
      </c>
      <c r="N133" s="2" t="s">
        <v>32</v>
      </c>
    </row>
    <row r="136">
      <c r="C136" s="2" t="s">
        <v>6</v>
      </c>
      <c r="D136" s="2" t="s">
        <v>7</v>
      </c>
      <c r="E136" s="2" t="s">
        <v>8</v>
      </c>
      <c r="I136" s="2" t="s">
        <v>11</v>
      </c>
      <c r="J136" s="2" t="s">
        <v>12</v>
      </c>
    </row>
    <row r="137">
      <c r="A137" s="11">
        <v>1037.0</v>
      </c>
      <c r="B137" s="12" t="s">
        <v>34</v>
      </c>
      <c r="C137" s="2" t="s">
        <v>32</v>
      </c>
      <c r="D137" s="2" t="s">
        <v>32</v>
      </c>
      <c r="E137" s="2" t="s">
        <v>32</v>
      </c>
      <c r="F137" s="15">
        <f t="shared" ref="F137:F170" si="1">COUNTIF($A$2:$A$133,A137)</f>
        <v>0</v>
      </c>
      <c r="H137" s="2" t="s">
        <v>6</v>
      </c>
      <c r="I137" s="15">
        <f>COUNTIF(C137:C361, "Y")</f>
        <v>208</v>
      </c>
      <c r="J137" s="15">
        <f>COUNTIF(C137:C361, "N")</f>
        <v>17</v>
      </c>
      <c r="K137" s="51">
        <f t="shared" ref="K137:K139" si="2">I137/225</f>
        <v>0.9244444444</v>
      </c>
    </row>
    <row r="138">
      <c r="A138" s="11">
        <v>109.0</v>
      </c>
      <c r="B138" s="12" t="s">
        <v>47</v>
      </c>
      <c r="C138" s="2" t="s">
        <v>32</v>
      </c>
      <c r="D138" s="2" t="s">
        <v>32</v>
      </c>
      <c r="E138" s="2" t="s">
        <v>32</v>
      </c>
      <c r="F138" s="15">
        <f t="shared" si="1"/>
        <v>0</v>
      </c>
      <c r="H138" s="2" t="s">
        <v>7</v>
      </c>
      <c r="I138" s="15">
        <f>COUNTIF(D137:D361, "Y")</f>
        <v>208</v>
      </c>
      <c r="J138" s="15">
        <f>COUNTIF(D137:D361, "N")</f>
        <v>17</v>
      </c>
      <c r="K138" s="51">
        <f t="shared" si="2"/>
        <v>0.9244444444</v>
      </c>
    </row>
    <row r="139">
      <c r="A139" s="11">
        <v>1129.0</v>
      </c>
      <c r="B139" s="12" t="s">
        <v>54</v>
      </c>
      <c r="C139" s="2" t="s">
        <v>32</v>
      </c>
      <c r="D139" s="2" t="s">
        <v>32</v>
      </c>
      <c r="E139" s="2" t="s">
        <v>32</v>
      </c>
      <c r="F139" s="15">
        <f t="shared" si="1"/>
        <v>0</v>
      </c>
      <c r="H139" s="2" t="s">
        <v>8</v>
      </c>
      <c r="I139" s="15">
        <f>COUNTIF(E137:E361, "Y")</f>
        <v>207</v>
      </c>
      <c r="J139" s="15">
        <f>COUNTIF(E137:E361, "N")</f>
        <v>18</v>
      </c>
      <c r="K139" s="51">
        <f t="shared" si="2"/>
        <v>0.92</v>
      </c>
    </row>
    <row r="140">
      <c r="A140" s="11">
        <v>1136.0</v>
      </c>
      <c r="B140" s="12" t="s">
        <v>59</v>
      </c>
      <c r="C140" s="2" t="s">
        <v>32</v>
      </c>
      <c r="D140" s="2" t="s">
        <v>32</v>
      </c>
      <c r="E140" s="2" t="s">
        <v>32</v>
      </c>
      <c r="F140" s="15">
        <f t="shared" si="1"/>
        <v>1</v>
      </c>
    </row>
    <row r="141">
      <c r="A141" s="11">
        <v>1197.0</v>
      </c>
      <c r="B141" s="12" t="s">
        <v>62</v>
      </c>
      <c r="C141" s="2" t="s">
        <v>32</v>
      </c>
      <c r="D141" s="2" t="s">
        <v>32</v>
      </c>
      <c r="E141" s="2" t="s">
        <v>32</v>
      </c>
      <c r="F141" s="15">
        <f t="shared" si="1"/>
        <v>1</v>
      </c>
      <c r="H141" s="2" t="s">
        <v>861</v>
      </c>
      <c r="I141" s="2">
        <v>225.0</v>
      </c>
    </row>
    <row r="142">
      <c r="A142" s="11">
        <v>121.0</v>
      </c>
      <c r="B142" s="12" t="s">
        <v>68</v>
      </c>
      <c r="C142" s="2" t="s">
        <v>32</v>
      </c>
      <c r="D142" s="2" t="s">
        <v>32</v>
      </c>
      <c r="E142" s="2" t="s">
        <v>32</v>
      </c>
      <c r="F142" s="15">
        <f t="shared" si="1"/>
        <v>1</v>
      </c>
    </row>
    <row r="143">
      <c r="A143" s="11">
        <v>1222.0</v>
      </c>
      <c r="B143" s="12" t="s">
        <v>74</v>
      </c>
      <c r="C143" s="2" t="s">
        <v>32</v>
      </c>
      <c r="D143" s="2" t="s">
        <v>32</v>
      </c>
      <c r="E143" s="2" t="s">
        <v>32</v>
      </c>
      <c r="F143" s="15">
        <f t="shared" si="1"/>
        <v>1</v>
      </c>
      <c r="H143" s="2" t="s">
        <v>864</v>
      </c>
      <c r="I143" s="51">
        <f>(224/225)</f>
        <v>0.9955555556</v>
      </c>
    </row>
    <row r="144">
      <c r="A144" s="11">
        <v>1277.0</v>
      </c>
      <c r="B144" s="12" t="s">
        <v>79</v>
      </c>
      <c r="C144" s="2" t="s">
        <v>32</v>
      </c>
      <c r="D144" s="2" t="s">
        <v>32</v>
      </c>
      <c r="E144" s="2" t="s">
        <v>32</v>
      </c>
      <c r="F144" s="15">
        <f t="shared" si="1"/>
        <v>1</v>
      </c>
      <c r="H144" s="2" t="s">
        <v>866</v>
      </c>
      <c r="I144" s="51">
        <f>222/225</f>
        <v>0.9866666667</v>
      </c>
    </row>
    <row r="145">
      <c r="A145" s="11">
        <v>1280.0</v>
      </c>
      <c r="B145" s="12" t="s">
        <v>81</v>
      </c>
      <c r="C145" s="2" t="s">
        <v>32</v>
      </c>
      <c r="D145" s="2" t="s">
        <v>32</v>
      </c>
      <c r="E145" s="2" t="s">
        <v>32</v>
      </c>
      <c r="F145" s="15">
        <f t="shared" si="1"/>
        <v>1</v>
      </c>
      <c r="H145" s="2" t="s">
        <v>868</v>
      </c>
      <c r="I145" s="51">
        <f>221/225</f>
        <v>0.9822222222</v>
      </c>
    </row>
    <row r="146">
      <c r="A146" s="11">
        <v>137.0</v>
      </c>
      <c r="B146" s="12" t="s">
        <v>88</v>
      </c>
      <c r="C146" s="2" t="s">
        <v>32</v>
      </c>
      <c r="D146" s="2" t="s">
        <v>32</v>
      </c>
      <c r="E146" s="2" t="s">
        <v>32</v>
      </c>
      <c r="F146" s="15">
        <f t="shared" si="1"/>
        <v>0</v>
      </c>
    </row>
    <row r="147">
      <c r="A147" s="11">
        <v>1437.0</v>
      </c>
      <c r="B147" s="12" t="s">
        <v>106</v>
      </c>
      <c r="C147" s="2" t="s">
        <v>32</v>
      </c>
      <c r="D147" s="2" t="s">
        <v>32</v>
      </c>
      <c r="E147" s="2" t="s">
        <v>32</v>
      </c>
      <c r="F147" s="15">
        <f t="shared" si="1"/>
        <v>0</v>
      </c>
    </row>
    <row r="148">
      <c r="A148" s="11">
        <v>1439.0</v>
      </c>
      <c r="B148" s="12" t="s">
        <v>130</v>
      </c>
      <c r="C148" s="2" t="s">
        <v>32</v>
      </c>
      <c r="D148" s="2" t="s">
        <v>32</v>
      </c>
      <c r="E148" s="2" t="s">
        <v>32</v>
      </c>
      <c r="F148" s="15">
        <f t="shared" si="1"/>
        <v>1</v>
      </c>
    </row>
    <row r="149">
      <c r="A149" s="11">
        <v>1445.0</v>
      </c>
      <c r="B149" s="12" t="s">
        <v>141</v>
      </c>
      <c r="C149" s="2" t="s">
        <v>32</v>
      </c>
      <c r="D149" s="2" t="s">
        <v>32</v>
      </c>
      <c r="E149" s="2" t="s">
        <v>32</v>
      </c>
      <c r="F149" s="15">
        <f t="shared" si="1"/>
        <v>0</v>
      </c>
    </row>
    <row r="150">
      <c r="A150" s="11">
        <v>1455.0</v>
      </c>
      <c r="B150" s="12" t="s">
        <v>153</v>
      </c>
      <c r="C150" s="2" t="s">
        <v>32</v>
      </c>
      <c r="D150" s="2" t="s">
        <v>32</v>
      </c>
      <c r="E150" s="2" t="s">
        <v>32</v>
      </c>
      <c r="F150" s="15">
        <f t="shared" si="1"/>
        <v>0</v>
      </c>
    </row>
    <row r="151">
      <c r="A151" s="11">
        <v>149.0</v>
      </c>
      <c r="B151" s="12" t="s">
        <v>170</v>
      </c>
      <c r="C151" s="2" t="s">
        <v>32</v>
      </c>
      <c r="D151" s="2" t="s">
        <v>32</v>
      </c>
      <c r="E151" s="2" t="s">
        <v>32</v>
      </c>
      <c r="F151" s="15">
        <f t="shared" si="1"/>
        <v>0</v>
      </c>
    </row>
    <row r="152">
      <c r="A152" s="11">
        <v>1511.0</v>
      </c>
      <c r="B152" s="12" t="s">
        <v>184</v>
      </c>
      <c r="C152" s="2" t="s">
        <v>32</v>
      </c>
      <c r="D152" s="2" t="s">
        <v>32</v>
      </c>
      <c r="E152" s="2" t="s">
        <v>32</v>
      </c>
      <c r="F152" s="15">
        <f t="shared" si="1"/>
        <v>0</v>
      </c>
    </row>
    <row r="153">
      <c r="A153" s="11">
        <v>1583.0</v>
      </c>
      <c r="B153" s="12" t="s">
        <v>192</v>
      </c>
      <c r="C153" s="2" t="s">
        <v>32</v>
      </c>
      <c r="D153" s="2" t="s">
        <v>32</v>
      </c>
      <c r="E153" s="2" t="s">
        <v>32</v>
      </c>
      <c r="F153" s="15">
        <f t="shared" si="1"/>
        <v>0</v>
      </c>
    </row>
    <row r="154">
      <c r="A154" s="11">
        <v>1675.0</v>
      </c>
      <c r="B154" s="12" t="s">
        <v>202</v>
      </c>
      <c r="C154" s="2" t="s">
        <v>32</v>
      </c>
      <c r="D154" s="2" t="s">
        <v>32</v>
      </c>
      <c r="E154" s="2" t="s">
        <v>32</v>
      </c>
      <c r="F154" s="15">
        <f t="shared" si="1"/>
        <v>1</v>
      </c>
    </row>
    <row r="155">
      <c r="A155" s="11">
        <v>169.0</v>
      </c>
      <c r="B155" s="12" t="s">
        <v>211</v>
      </c>
      <c r="C155" s="2" t="s">
        <v>32</v>
      </c>
      <c r="D155" s="2" t="s">
        <v>32</v>
      </c>
      <c r="E155" s="2" t="s">
        <v>32</v>
      </c>
      <c r="F155" s="15">
        <f t="shared" si="1"/>
        <v>1</v>
      </c>
    </row>
    <row r="156">
      <c r="A156" s="11">
        <v>174.0</v>
      </c>
      <c r="B156" s="12" t="s">
        <v>234</v>
      </c>
      <c r="C156" s="2" t="s">
        <v>32</v>
      </c>
      <c r="D156" s="2" t="s">
        <v>32</v>
      </c>
      <c r="E156" s="2" t="s">
        <v>32</v>
      </c>
      <c r="F156" s="15">
        <f t="shared" si="1"/>
        <v>0</v>
      </c>
    </row>
    <row r="157">
      <c r="A157" s="11">
        <v>177.0</v>
      </c>
      <c r="B157" s="12" t="s">
        <v>263</v>
      </c>
      <c r="C157" s="2" t="s">
        <v>32</v>
      </c>
      <c r="D157" s="2" t="s">
        <v>32</v>
      </c>
      <c r="E157" s="2" t="s">
        <v>32</v>
      </c>
      <c r="F157" s="15">
        <f t="shared" si="1"/>
        <v>0</v>
      </c>
    </row>
    <row r="158">
      <c r="A158" s="11">
        <v>1851.0</v>
      </c>
      <c r="B158" s="12" t="s">
        <v>277</v>
      </c>
      <c r="C158" s="2" t="s">
        <v>32</v>
      </c>
      <c r="D158" s="2" t="s">
        <v>32</v>
      </c>
      <c r="E158" s="2" t="s">
        <v>32</v>
      </c>
      <c r="F158" s="15">
        <f t="shared" si="1"/>
        <v>0</v>
      </c>
    </row>
    <row r="159">
      <c r="A159" s="11">
        <v>1886.0</v>
      </c>
      <c r="B159" s="12" t="s">
        <v>288</v>
      </c>
      <c r="C159" s="2" t="s">
        <v>32</v>
      </c>
      <c r="D159" s="2" t="s">
        <v>32</v>
      </c>
      <c r="E159" s="2" t="s">
        <v>32</v>
      </c>
      <c r="F159" s="15">
        <f t="shared" si="1"/>
        <v>0</v>
      </c>
    </row>
    <row r="160">
      <c r="A160" s="11">
        <v>1887.0</v>
      </c>
      <c r="B160" s="12" t="s">
        <v>300</v>
      </c>
      <c r="C160" s="2" t="s">
        <v>41</v>
      </c>
      <c r="D160" s="2" t="s">
        <v>41</v>
      </c>
      <c r="E160" s="2" t="s">
        <v>41</v>
      </c>
      <c r="F160" s="15">
        <f t="shared" si="1"/>
        <v>0</v>
      </c>
    </row>
    <row r="161">
      <c r="A161" s="11">
        <v>209.0</v>
      </c>
      <c r="B161" s="12" t="s">
        <v>312</v>
      </c>
      <c r="C161" s="2" t="s">
        <v>32</v>
      </c>
      <c r="D161" s="2" t="s">
        <v>32</v>
      </c>
      <c r="E161" s="2" t="s">
        <v>32</v>
      </c>
      <c r="F161" s="15">
        <f t="shared" si="1"/>
        <v>1</v>
      </c>
    </row>
    <row r="162">
      <c r="A162" s="11">
        <v>2390.0</v>
      </c>
      <c r="B162" s="12" t="s">
        <v>324</v>
      </c>
      <c r="C162" s="2" t="s">
        <v>32</v>
      </c>
      <c r="D162" s="2" t="s">
        <v>32</v>
      </c>
      <c r="E162" s="2" t="s">
        <v>32</v>
      </c>
      <c r="F162" s="15">
        <f t="shared" si="1"/>
        <v>0</v>
      </c>
    </row>
    <row r="163">
      <c r="A163" s="11">
        <v>255.0</v>
      </c>
      <c r="B163" s="12" t="s">
        <v>336</v>
      </c>
      <c r="C163" s="2" t="s">
        <v>32</v>
      </c>
      <c r="D163" s="2" t="s">
        <v>32</v>
      </c>
      <c r="E163" s="2" t="s">
        <v>32</v>
      </c>
      <c r="F163" s="15">
        <f t="shared" si="1"/>
        <v>0</v>
      </c>
    </row>
    <row r="164">
      <c r="A164" s="11">
        <v>256.0</v>
      </c>
      <c r="B164" s="12" t="s">
        <v>352</v>
      </c>
      <c r="C164" s="2" t="s">
        <v>32</v>
      </c>
      <c r="D164" s="2" t="s">
        <v>32</v>
      </c>
      <c r="E164" s="2" t="s">
        <v>32</v>
      </c>
      <c r="F164" s="15">
        <f t="shared" si="1"/>
        <v>0</v>
      </c>
    </row>
    <row r="165">
      <c r="A165" s="11">
        <v>259.0</v>
      </c>
      <c r="B165" s="12" t="s">
        <v>366</v>
      </c>
      <c r="C165" s="2" t="s">
        <v>32</v>
      </c>
      <c r="D165" s="2" t="s">
        <v>32</v>
      </c>
      <c r="E165" s="2" t="s">
        <v>32</v>
      </c>
      <c r="F165" s="15">
        <f t="shared" si="1"/>
        <v>0</v>
      </c>
    </row>
    <row r="166">
      <c r="A166" s="11">
        <v>273.0</v>
      </c>
      <c r="B166" s="12" t="s">
        <v>383</v>
      </c>
      <c r="C166" s="2" t="s">
        <v>32</v>
      </c>
      <c r="D166" s="2" t="s">
        <v>32</v>
      </c>
      <c r="E166" s="2" t="s">
        <v>32</v>
      </c>
      <c r="F166" s="15">
        <f t="shared" si="1"/>
        <v>0</v>
      </c>
    </row>
    <row r="167">
      <c r="A167" s="11">
        <v>288.0</v>
      </c>
      <c r="B167" s="12" t="s">
        <v>388</v>
      </c>
      <c r="C167" s="2" t="s">
        <v>41</v>
      </c>
      <c r="D167" s="2" t="s">
        <v>32</v>
      </c>
      <c r="E167" s="2" t="s">
        <v>32</v>
      </c>
      <c r="F167" s="15">
        <f t="shared" si="1"/>
        <v>0</v>
      </c>
    </row>
    <row r="168">
      <c r="A168" s="11">
        <v>29.0</v>
      </c>
      <c r="B168" s="12" t="s">
        <v>397</v>
      </c>
      <c r="C168" s="2" t="s">
        <v>32</v>
      </c>
      <c r="D168" s="2" t="s">
        <v>32</v>
      </c>
      <c r="E168" s="2" t="s">
        <v>32</v>
      </c>
      <c r="F168" s="15">
        <f t="shared" si="1"/>
        <v>1</v>
      </c>
    </row>
    <row r="169">
      <c r="A169" s="11">
        <v>313.0</v>
      </c>
      <c r="B169" s="12" t="s">
        <v>414</v>
      </c>
      <c r="C169" s="2" t="s">
        <v>41</v>
      </c>
      <c r="D169" s="2" t="s">
        <v>41</v>
      </c>
      <c r="E169" s="2" t="s">
        <v>41</v>
      </c>
      <c r="F169" s="15">
        <f t="shared" si="1"/>
        <v>0</v>
      </c>
    </row>
    <row r="170">
      <c r="A170" s="11">
        <v>325.0</v>
      </c>
      <c r="B170" s="12" t="s">
        <v>423</v>
      </c>
      <c r="C170" s="2" t="s">
        <v>32</v>
      </c>
      <c r="D170" s="2" t="s">
        <v>32</v>
      </c>
      <c r="E170" s="2" t="s">
        <v>32</v>
      </c>
      <c r="F170" s="15">
        <f t="shared" si="1"/>
        <v>0</v>
      </c>
    </row>
    <row r="171">
      <c r="A171" s="11">
        <v>33.0</v>
      </c>
      <c r="B171" s="12" t="s">
        <v>440</v>
      </c>
      <c r="C171" s="2" t="s">
        <v>32</v>
      </c>
      <c r="D171" s="2" t="s">
        <v>32</v>
      </c>
      <c r="E171" s="2" t="s">
        <v>32</v>
      </c>
      <c r="F171" s="2">
        <v>0.0</v>
      </c>
    </row>
    <row r="172">
      <c r="A172" s="11">
        <v>33.0</v>
      </c>
      <c r="B172" s="12" t="s">
        <v>461</v>
      </c>
      <c r="C172" s="2" t="s">
        <v>32</v>
      </c>
      <c r="D172" s="2" t="s">
        <v>32</v>
      </c>
      <c r="E172" s="2" t="s">
        <v>32</v>
      </c>
      <c r="F172" s="15">
        <f t="shared" ref="F172:F215" si="3">COUNTIF($A$2:$A$133,A172)</f>
        <v>1</v>
      </c>
    </row>
    <row r="173">
      <c r="A173" s="11">
        <v>388.0</v>
      </c>
      <c r="B173" s="12" t="s">
        <v>479</v>
      </c>
      <c r="C173" s="2" t="s">
        <v>32</v>
      </c>
      <c r="D173" s="2" t="s">
        <v>32</v>
      </c>
      <c r="E173" s="2" t="s">
        <v>32</v>
      </c>
      <c r="F173" s="15">
        <f t="shared" si="3"/>
        <v>1</v>
      </c>
    </row>
    <row r="174">
      <c r="A174" s="11">
        <v>3979.0</v>
      </c>
      <c r="B174" s="12" t="s">
        <v>496</v>
      </c>
      <c r="C174" s="2" t="s">
        <v>32</v>
      </c>
      <c r="D174" s="2" t="s">
        <v>32</v>
      </c>
      <c r="E174" s="2" t="s">
        <v>32</v>
      </c>
      <c r="F174" s="15">
        <f t="shared" si="3"/>
        <v>0</v>
      </c>
    </row>
    <row r="175">
      <c r="A175" s="11">
        <v>3988.0</v>
      </c>
      <c r="B175" s="12" t="s">
        <v>507</v>
      </c>
      <c r="C175" s="2" t="s">
        <v>32</v>
      </c>
      <c r="D175" s="2" t="s">
        <v>32</v>
      </c>
      <c r="E175" s="2" t="s">
        <v>32</v>
      </c>
      <c r="F175" s="15">
        <f t="shared" si="3"/>
        <v>0</v>
      </c>
    </row>
    <row r="176">
      <c r="A176" s="11">
        <v>40.0</v>
      </c>
      <c r="B176" s="12" t="s">
        <v>518</v>
      </c>
      <c r="C176" s="2" t="s">
        <v>32</v>
      </c>
      <c r="D176" s="2" t="s">
        <v>32</v>
      </c>
      <c r="E176" s="2" t="s">
        <v>32</v>
      </c>
      <c r="F176" s="15">
        <f t="shared" si="3"/>
        <v>0</v>
      </c>
    </row>
    <row r="177">
      <c r="A177" s="11">
        <v>4072.0</v>
      </c>
      <c r="B177" s="12" t="s">
        <v>529</v>
      </c>
      <c r="C177" s="2" t="s">
        <v>32</v>
      </c>
      <c r="D177" s="2" t="s">
        <v>32</v>
      </c>
      <c r="E177" s="2" t="s">
        <v>32</v>
      </c>
      <c r="F177" s="15">
        <f t="shared" si="3"/>
        <v>0</v>
      </c>
    </row>
    <row r="178">
      <c r="A178" s="11">
        <v>4109.0</v>
      </c>
      <c r="B178" s="12" t="s">
        <v>540</v>
      </c>
      <c r="C178" s="2" t="s">
        <v>32</v>
      </c>
      <c r="D178" s="2" t="s">
        <v>32</v>
      </c>
      <c r="E178" s="2" t="s">
        <v>32</v>
      </c>
      <c r="F178" s="15">
        <f t="shared" si="3"/>
        <v>1</v>
      </c>
    </row>
    <row r="179">
      <c r="A179" s="11">
        <v>411.0</v>
      </c>
      <c r="B179" s="12" t="s">
        <v>550</v>
      </c>
      <c r="C179" s="2" t="s">
        <v>32</v>
      </c>
      <c r="D179" s="2" t="s">
        <v>32</v>
      </c>
      <c r="E179" s="2" t="s">
        <v>32</v>
      </c>
      <c r="F179" s="15">
        <f t="shared" si="3"/>
        <v>1</v>
      </c>
    </row>
    <row r="180">
      <c r="A180" s="11">
        <v>4229.0</v>
      </c>
      <c r="B180" s="12" t="s">
        <v>558</v>
      </c>
      <c r="C180" s="2" t="s">
        <v>32</v>
      </c>
      <c r="D180" s="2" t="s">
        <v>32</v>
      </c>
      <c r="E180" s="2" t="s">
        <v>32</v>
      </c>
      <c r="F180" s="15">
        <f t="shared" si="3"/>
        <v>0</v>
      </c>
    </row>
    <row r="181">
      <c r="A181" s="11">
        <v>429.0</v>
      </c>
      <c r="B181" s="12" t="s">
        <v>568</v>
      </c>
      <c r="C181" s="2" t="s">
        <v>32</v>
      </c>
      <c r="D181" s="2" t="s">
        <v>32</v>
      </c>
      <c r="E181" s="2" t="s">
        <v>32</v>
      </c>
      <c r="F181" s="15">
        <f t="shared" si="3"/>
        <v>0</v>
      </c>
    </row>
    <row r="182">
      <c r="A182" s="11">
        <v>441.0</v>
      </c>
      <c r="B182" s="12" t="s">
        <v>575</v>
      </c>
      <c r="C182" s="2" t="s">
        <v>32</v>
      </c>
      <c r="D182" s="2" t="s">
        <v>32</v>
      </c>
      <c r="E182" s="2" t="s">
        <v>32</v>
      </c>
      <c r="F182" s="15">
        <f t="shared" si="3"/>
        <v>0</v>
      </c>
    </row>
    <row r="183">
      <c r="A183" s="11">
        <v>4543.0</v>
      </c>
      <c r="B183" s="12" t="s">
        <v>587</v>
      </c>
      <c r="C183" s="2" t="s">
        <v>32</v>
      </c>
      <c r="D183" s="2" t="s">
        <v>32</v>
      </c>
      <c r="E183" s="2" t="s">
        <v>32</v>
      </c>
      <c r="F183" s="15">
        <f t="shared" si="3"/>
        <v>0</v>
      </c>
    </row>
    <row r="184">
      <c r="A184" s="11">
        <v>4841.0</v>
      </c>
      <c r="B184" s="12" t="s">
        <v>594</v>
      </c>
      <c r="C184" s="2" t="s">
        <v>32</v>
      </c>
      <c r="D184" s="2" t="s">
        <v>32</v>
      </c>
      <c r="E184" s="2" t="s">
        <v>32</v>
      </c>
      <c r="F184" s="15">
        <f t="shared" si="3"/>
        <v>0</v>
      </c>
    </row>
    <row r="185">
      <c r="A185" s="11">
        <v>513.0</v>
      </c>
      <c r="B185" s="12" t="s">
        <v>601</v>
      </c>
      <c r="C185" s="2" t="s">
        <v>41</v>
      </c>
      <c r="D185" s="2" t="s">
        <v>41</v>
      </c>
      <c r="E185" s="2" t="s">
        <v>41</v>
      </c>
      <c r="F185" s="15">
        <f t="shared" si="3"/>
        <v>0</v>
      </c>
      <c r="G185" s="2" t="s">
        <v>887</v>
      </c>
    </row>
    <row r="186">
      <c r="A186" s="11">
        <v>5557.0</v>
      </c>
      <c r="B186" s="12" t="s">
        <v>609</v>
      </c>
      <c r="C186" s="2" t="s">
        <v>41</v>
      </c>
      <c r="D186" s="2" t="s">
        <v>41</v>
      </c>
      <c r="E186" s="2" t="s">
        <v>41</v>
      </c>
      <c r="F186" s="15">
        <f t="shared" si="3"/>
        <v>0</v>
      </c>
    </row>
    <row r="187">
      <c r="A187" s="11">
        <v>56.0</v>
      </c>
      <c r="B187" s="12" t="s">
        <v>614</v>
      </c>
      <c r="C187" s="2" t="s">
        <v>32</v>
      </c>
      <c r="D187" s="2" t="s">
        <v>32</v>
      </c>
      <c r="E187" s="2" t="s">
        <v>32</v>
      </c>
      <c r="F187" s="15">
        <f t="shared" si="3"/>
        <v>0</v>
      </c>
    </row>
    <row r="188">
      <c r="A188" s="11">
        <v>5700.0</v>
      </c>
      <c r="B188" s="12" t="s">
        <v>617</v>
      </c>
      <c r="C188" s="2" t="s">
        <v>32</v>
      </c>
      <c r="D188" s="2" t="s">
        <v>32</v>
      </c>
      <c r="E188" s="2" t="s">
        <v>32</v>
      </c>
      <c r="F188" s="15">
        <f t="shared" si="3"/>
        <v>1</v>
      </c>
    </row>
    <row r="189">
      <c r="A189" s="11">
        <v>5739.0</v>
      </c>
      <c r="B189" s="12" t="s">
        <v>620</v>
      </c>
      <c r="C189" s="2" t="s">
        <v>32</v>
      </c>
      <c r="D189" s="2" t="s">
        <v>32</v>
      </c>
      <c r="E189" s="2" t="s">
        <v>32</v>
      </c>
      <c r="F189" s="15">
        <f t="shared" si="3"/>
        <v>0</v>
      </c>
    </row>
    <row r="190">
      <c r="A190" s="11">
        <v>5741.0</v>
      </c>
      <c r="B190" s="12" t="s">
        <v>623</v>
      </c>
      <c r="C190" s="2" t="s">
        <v>32</v>
      </c>
      <c r="D190" s="2" t="s">
        <v>32</v>
      </c>
      <c r="E190" s="2" t="s">
        <v>32</v>
      </c>
      <c r="F190" s="15">
        <f t="shared" si="3"/>
        <v>0</v>
      </c>
    </row>
    <row r="191">
      <c r="A191" s="11">
        <v>5769.0</v>
      </c>
      <c r="B191" s="12" t="s">
        <v>625</v>
      </c>
      <c r="C191" s="2" t="s">
        <v>41</v>
      </c>
      <c r="D191" s="2" t="s">
        <v>41</v>
      </c>
      <c r="E191" s="2" t="s">
        <v>41</v>
      </c>
      <c r="F191" s="15">
        <f t="shared" si="3"/>
        <v>0</v>
      </c>
    </row>
    <row r="192">
      <c r="A192" s="11">
        <v>5784.0</v>
      </c>
      <c r="B192" s="12" t="s">
        <v>631</v>
      </c>
      <c r="C192" s="2" t="s">
        <v>32</v>
      </c>
      <c r="D192" s="2" t="s">
        <v>32</v>
      </c>
      <c r="E192" s="2" t="s">
        <v>32</v>
      </c>
      <c r="F192" s="15">
        <f t="shared" si="3"/>
        <v>1</v>
      </c>
    </row>
    <row r="193">
      <c r="A193" s="11">
        <v>5787.0</v>
      </c>
      <c r="B193" s="12" t="s">
        <v>634</v>
      </c>
      <c r="C193" s="2" t="s">
        <v>32</v>
      </c>
      <c r="D193" s="2" t="s">
        <v>32</v>
      </c>
      <c r="E193" s="2" t="s">
        <v>32</v>
      </c>
      <c r="F193" s="15">
        <f t="shared" si="3"/>
        <v>1</v>
      </c>
    </row>
    <row r="194">
      <c r="A194" s="11">
        <v>6050.0</v>
      </c>
      <c r="B194" s="12" t="s">
        <v>641</v>
      </c>
      <c r="C194" s="2" t="s">
        <v>32</v>
      </c>
      <c r="D194" s="2" t="s">
        <v>32</v>
      </c>
      <c r="E194" s="2" t="s">
        <v>32</v>
      </c>
      <c r="F194" s="15">
        <f t="shared" si="3"/>
        <v>1</v>
      </c>
    </row>
    <row r="195">
      <c r="A195" s="11">
        <v>6072.0</v>
      </c>
      <c r="B195" s="12" t="s">
        <v>652</v>
      </c>
      <c r="C195" s="2" t="s">
        <v>32</v>
      </c>
      <c r="D195" s="2" t="s">
        <v>32</v>
      </c>
      <c r="E195" s="2" t="s">
        <v>32</v>
      </c>
      <c r="F195" s="15">
        <f t="shared" si="3"/>
        <v>0</v>
      </c>
    </row>
    <row r="196">
      <c r="A196" s="11">
        <v>6212.0</v>
      </c>
      <c r="B196" s="12" t="s">
        <v>655</v>
      </c>
      <c r="C196" s="2" t="s">
        <v>32</v>
      </c>
      <c r="D196" s="2" t="s">
        <v>32</v>
      </c>
      <c r="E196" s="2" t="s">
        <v>32</v>
      </c>
      <c r="F196" s="15">
        <f t="shared" si="3"/>
        <v>0</v>
      </c>
    </row>
    <row r="197">
      <c r="A197" s="11">
        <v>6302.0</v>
      </c>
      <c r="B197" s="12" t="s">
        <v>657</v>
      </c>
      <c r="C197" s="2" t="s">
        <v>32</v>
      </c>
      <c r="D197" s="2" t="s">
        <v>32</v>
      </c>
      <c r="E197" s="2" t="s">
        <v>32</v>
      </c>
      <c r="F197" s="15">
        <f t="shared" si="3"/>
        <v>0</v>
      </c>
    </row>
    <row r="198">
      <c r="A198" s="11">
        <v>6409.0</v>
      </c>
      <c r="B198" s="12" t="s">
        <v>663</v>
      </c>
      <c r="C198" s="2" t="s">
        <v>32</v>
      </c>
      <c r="D198" s="2" t="s">
        <v>32</v>
      </c>
      <c r="E198" s="2" t="s">
        <v>32</v>
      </c>
      <c r="F198" s="15">
        <f t="shared" si="3"/>
        <v>0</v>
      </c>
    </row>
    <row r="199">
      <c r="A199" s="11">
        <v>6465.0</v>
      </c>
      <c r="B199" s="12" t="s">
        <v>670</v>
      </c>
      <c r="C199" s="2" t="s">
        <v>32</v>
      </c>
      <c r="D199" s="2" t="s">
        <v>32</v>
      </c>
      <c r="E199" s="2" t="s">
        <v>32</v>
      </c>
      <c r="F199" s="15">
        <f t="shared" si="3"/>
        <v>0</v>
      </c>
    </row>
    <row r="200">
      <c r="A200" s="11">
        <v>6585.0</v>
      </c>
      <c r="B200" s="12" t="s">
        <v>672</v>
      </c>
      <c r="C200" s="2" t="s">
        <v>32</v>
      </c>
      <c r="D200" s="2" t="s">
        <v>32</v>
      </c>
      <c r="E200" s="2" t="s">
        <v>32</v>
      </c>
      <c r="F200" s="15">
        <f t="shared" si="3"/>
        <v>1</v>
      </c>
    </row>
    <row r="201">
      <c r="A201" s="11">
        <v>66.0</v>
      </c>
      <c r="B201" s="12" t="s">
        <v>675</v>
      </c>
      <c r="C201" s="2" t="s">
        <v>32</v>
      </c>
      <c r="D201" s="2" t="s">
        <v>32</v>
      </c>
      <c r="E201" s="2" t="s">
        <v>32</v>
      </c>
      <c r="F201" s="15">
        <f t="shared" si="3"/>
        <v>0</v>
      </c>
    </row>
    <row r="202">
      <c r="A202" s="11">
        <v>682.0</v>
      </c>
      <c r="B202" s="12" t="s">
        <v>678</v>
      </c>
      <c r="C202" s="2" t="s">
        <v>32</v>
      </c>
      <c r="D202" s="2" t="s">
        <v>32</v>
      </c>
      <c r="E202" s="2" t="s">
        <v>32</v>
      </c>
      <c r="F202" s="15">
        <f t="shared" si="3"/>
        <v>0</v>
      </c>
    </row>
    <row r="203">
      <c r="A203" s="11">
        <v>70.0</v>
      </c>
      <c r="B203" s="12" t="s">
        <v>679</v>
      </c>
      <c r="C203" s="2" t="s">
        <v>41</v>
      </c>
      <c r="D203" s="2" t="s">
        <v>41</v>
      </c>
      <c r="E203" s="2" t="s">
        <v>41</v>
      </c>
      <c r="F203" s="15">
        <f t="shared" si="3"/>
        <v>1</v>
      </c>
    </row>
    <row r="204">
      <c r="A204" s="11">
        <v>700.0</v>
      </c>
      <c r="B204" s="12" t="s">
        <v>682</v>
      </c>
      <c r="C204" s="2" t="s">
        <v>32</v>
      </c>
      <c r="D204" s="2" t="s">
        <v>32</v>
      </c>
      <c r="E204" s="2" t="s">
        <v>32</v>
      </c>
      <c r="F204" s="15">
        <f t="shared" si="3"/>
        <v>0</v>
      </c>
    </row>
    <row r="205">
      <c r="A205" s="11">
        <v>71.0</v>
      </c>
      <c r="B205" s="12" t="s">
        <v>685</v>
      </c>
      <c r="C205" s="2" t="s">
        <v>32</v>
      </c>
      <c r="D205" s="2" t="s">
        <v>41</v>
      </c>
      <c r="E205" s="2" t="s">
        <v>41</v>
      </c>
      <c r="F205" s="15">
        <f t="shared" si="3"/>
        <v>1</v>
      </c>
    </row>
    <row r="206">
      <c r="A206" s="11">
        <v>768.0</v>
      </c>
      <c r="B206" s="12" t="s">
        <v>689</v>
      </c>
      <c r="C206" s="2" t="s">
        <v>32</v>
      </c>
      <c r="D206" s="2" t="s">
        <v>32</v>
      </c>
      <c r="E206" s="2" t="s">
        <v>32</v>
      </c>
      <c r="F206" s="15">
        <f t="shared" si="3"/>
        <v>0</v>
      </c>
    </row>
    <row r="207">
      <c r="A207" s="11">
        <v>793.0</v>
      </c>
      <c r="B207" s="12" t="s">
        <v>690</v>
      </c>
      <c r="C207" s="2" t="s">
        <v>32</v>
      </c>
      <c r="D207" s="2" t="s">
        <v>32</v>
      </c>
      <c r="E207" s="2" t="s">
        <v>32</v>
      </c>
      <c r="F207" s="15">
        <f t="shared" si="3"/>
        <v>0</v>
      </c>
    </row>
    <row r="208">
      <c r="A208" s="11">
        <v>83.0</v>
      </c>
      <c r="B208" s="12" t="s">
        <v>699</v>
      </c>
      <c r="C208" s="2" t="s">
        <v>32</v>
      </c>
      <c r="D208" s="2" t="s">
        <v>32</v>
      </c>
      <c r="E208" s="2" t="s">
        <v>32</v>
      </c>
      <c r="F208" s="15">
        <f t="shared" si="3"/>
        <v>1</v>
      </c>
    </row>
    <row r="209">
      <c r="A209" s="11">
        <v>87.0</v>
      </c>
      <c r="B209" s="12" t="s">
        <v>700</v>
      </c>
      <c r="C209" s="2" t="s">
        <v>32</v>
      </c>
      <c r="D209" s="2" t="s">
        <v>32</v>
      </c>
      <c r="E209" s="2" t="s">
        <v>32</v>
      </c>
      <c r="F209" s="15">
        <f t="shared" si="3"/>
        <v>0</v>
      </c>
    </row>
    <row r="210">
      <c r="A210" s="11">
        <v>878.0</v>
      </c>
      <c r="B210" s="12" t="s">
        <v>701</v>
      </c>
      <c r="C210" s="2" t="s">
        <v>32</v>
      </c>
      <c r="D210" s="2" t="s">
        <v>32</v>
      </c>
      <c r="E210" s="2" t="s">
        <v>32</v>
      </c>
      <c r="F210" s="15">
        <f t="shared" si="3"/>
        <v>0</v>
      </c>
    </row>
    <row r="211">
      <c r="A211" s="11">
        <v>91.0</v>
      </c>
      <c r="B211" s="12" t="s">
        <v>703</v>
      </c>
      <c r="C211" s="2" t="s">
        <v>32</v>
      </c>
      <c r="D211" s="2" t="s">
        <v>32</v>
      </c>
      <c r="E211" s="2" t="s">
        <v>32</v>
      </c>
      <c r="F211" s="15">
        <f t="shared" si="3"/>
        <v>0</v>
      </c>
    </row>
    <row r="212">
      <c r="A212" s="11">
        <v>921.0</v>
      </c>
      <c r="B212" s="12" t="s">
        <v>704</v>
      </c>
      <c r="C212" s="2" t="s">
        <v>32</v>
      </c>
      <c r="D212" s="2" t="s">
        <v>32</v>
      </c>
      <c r="E212" s="2" t="s">
        <v>32</v>
      </c>
      <c r="F212" s="15">
        <f t="shared" si="3"/>
        <v>0</v>
      </c>
    </row>
    <row r="213">
      <c r="A213" s="11">
        <v>923.0</v>
      </c>
      <c r="B213" s="12" t="s">
        <v>714</v>
      </c>
      <c r="C213" s="2" t="s">
        <v>32</v>
      </c>
      <c r="D213" s="2" t="s">
        <v>32</v>
      </c>
      <c r="E213" s="2" t="s">
        <v>32</v>
      </c>
      <c r="F213" s="15">
        <f t="shared" si="3"/>
        <v>0</v>
      </c>
    </row>
    <row r="214">
      <c r="A214" s="11">
        <v>928.0</v>
      </c>
      <c r="B214" s="12" t="s">
        <v>715</v>
      </c>
      <c r="C214" s="2" t="s">
        <v>32</v>
      </c>
      <c r="D214" s="2" t="s">
        <v>32</v>
      </c>
      <c r="E214" s="2" t="s">
        <v>32</v>
      </c>
      <c r="F214" s="15">
        <f t="shared" si="3"/>
        <v>0</v>
      </c>
    </row>
    <row r="215">
      <c r="A215" s="11">
        <v>942.0</v>
      </c>
      <c r="B215" s="12" t="s">
        <v>716</v>
      </c>
      <c r="C215" s="2" t="s">
        <v>32</v>
      </c>
      <c r="D215" s="2" t="s">
        <v>32</v>
      </c>
      <c r="E215" s="2" t="s">
        <v>32</v>
      </c>
      <c r="F215" s="15">
        <f t="shared" si="3"/>
        <v>0</v>
      </c>
    </row>
    <row r="216">
      <c r="A216" s="11">
        <v>974.0</v>
      </c>
      <c r="B216" s="12" t="s">
        <v>717</v>
      </c>
      <c r="C216" s="2" t="s">
        <v>32</v>
      </c>
      <c r="D216" s="2" t="s">
        <v>32</v>
      </c>
      <c r="E216" s="2" t="s">
        <v>32</v>
      </c>
      <c r="F216" s="2">
        <v>1.0</v>
      </c>
    </row>
    <row r="217">
      <c r="A217" s="11">
        <v>1016.0</v>
      </c>
      <c r="B217" s="12" t="s">
        <v>718</v>
      </c>
      <c r="C217" s="2" t="s">
        <v>32</v>
      </c>
      <c r="D217" s="2" t="s">
        <v>32</v>
      </c>
      <c r="E217" s="2" t="s">
        <v>32</v>
      </c>
      <c r="F217" s="15">
        <f t="shared" ref="F217:F332" si="4">COUNTIF($A$2:$A$133,A217)</f>
        <v>0</v>
      </c>
    </row>
    <row r="218">
      <c r="A218" s="11">
        <v>1059.0</v>
      </c>
      <c r="B218" s="12" t="s">
        <v>719</v>
      </c>
      <c r="C218" s="2" t="s">
        <v>32</v>
      </c>
      <c r="D218" s="2" t="s">
        <v>32</v>
      </c>
      <c r="E218" s="2" t="s">
        <v>32</v>
      </c>
      <c r="F218" s="15">
        <f t="shared" si="4"/>
        <v>0</v>
      </c>
    </row>
    <row r="219">
      <c r="A219" s="11">
        <v>1112.0</v>
      </c>
      <c r="B219" s="12" t="s">
        <v>720</v>
      </c>
      <c r="C219" s="2" t="s">
        <v>32</v>
      </c>
      <c r="D219" s="2" t="s">
        <v>32</v>
      </c>
      <c r="E219" s="2" t="s">
        <v>32</v>
      </c>
      <c r="F219" s="15">
        <f t="shared" si="4"/>
        <v>1</v>
      </c>
    </row>
    <row r="220">
      <c r="A220" s="11">
        <v>1115.0</v>
      </c>
      <c r="B220" s="12" t="s">
        <v>721</v>
      </c>
      <c r="C220" s="2" t="s">
        <v>32</v>
      </c>
      <c r="D220" s="2" t="s">
        <v>32</v>
      </c>
      <c r="E220" s="2" t="s">
        <v>32</v>
      </c>
      <c r="F220" s="15">
        <f t="shared" si="4"/>
        <v>1</v>
      </c>
    </row>
    <row r="221">
      <c r="A221" s="11">
        <v>1148.0</v>
      </c>
      <c r="B221" s="12" t="s">
        <v>722</v>
      </c>
      <c r="C221" s="2" t="s">
        <v>32</v>
      </c>
      <c r="D221" s="2" t="s">
        <v>32</v>
      </c>
      <c r="E221" s="2" t="s">
        <v>32</v>
      </c>
      <c r="F221" s="15">
        <f t="shared" si="4"/>
        <v>0</v>
      </c>
    </row>
    <row r="222">
      <c r="A222" s="11">
        <v>1174.0</v>
      </c>
      <c r="B222" s="12" t="s">
        <v>723</v>
      </c>
      <c r="C222" s="2" t="s">
        <v>32</v>
      </c>
      <c r="D222" s="2" t="s">
        <v>32</v>
      </c>
      <c r="E222" s="2" t="s">
        <v>32</v>
      </c>
      <c r="F222" s="15">
        <f t="shared" si="4"/>
        <v>0</v>
      </c>
    </row>
    <row r="223">
      <c r="A223" s="11">
        <v>1220.0</v>
      </c>
      <c r="B223" s="12" t="s">
        <v>724</v>
      </c>
      <c r="C223" s="2" t="s">
        <v>32</v>
      </c>
      <c r="D223" s="2" t="s">
        <v>32</v>
      </c>
      <c r="E223" s="2" t="s">
        <v>32</v>
      </c>
      <c r="F223" s="15">
        <f t="shared" si="4"/>
        <v>0</v>
      </c>
    </row>
    <row r="224">
      <c r="A224" s="11">
        <v>1275.0</v>
      </c>
      <c r="B224" s="12" t="s">
        <v>725</v>
      </c>
      <c r="C224" s="2" t="s">
        <v>32</v>
      </c>
      <c r="D224" s="2" t="s">
        <v>32</v>
      </c>
      <c r="E224" s="2" t="s">
        <v>32</v>
      </c>
      <c r="F224" s="15">
        <f t="shared" si="4"/>
        <v>0</v>
      </c>
    </row>
    <row r="225">
      <c r="A225" s="11">
        <v>1327.0</v>
      </c>
      <c r="B225" s="12" t="s">
        <v>726</v>
      </c>
      <c r="C225" s="2" t="s">
        <v>32</v>
      </c>
      <c r="D225" s="2" t="s">
        <v>32</v>
      </c>
      <c r="E225" s="2" t="s">
        <v>32</v>
      </c>
      <c r="F225" s="15">
        <f t="shared" si="4"/>
        <v>0</v>
      </c>
    </row>
    <row r="226">
      <c r="A226" s="11">
        <v>1430.0</v>
      </c>
      <c r="B226" s="12" t="s">
        <v>727</v>
      </c>
      <c r="C226" s="2" t="s">
        <v>32</v>
      </c>
      <c r="D226" s="2" t="s">
        <v>32</v>
      </c>
      <c r="E226" s="2" t="s">
        <v>32</v>
      </c>
      <c r="F226" s="15">
        <f t="shared" si="4"/>
        <v>0</v>
      </c>
    </row>
    <row r="227">
      <c r="A227" s="11">
        <v>149.0</v>
      </c>
      <c r="B227" s="12" t="s">
        <v>729</v>
      </c>
      <c r="C227" s="2" t="s">
        <v>32</v>
      </c>
      <c r="D227" s="2" t="s">
        <v>32</v>
      </c>
      <c r="E227" s="2" t="s">
        <v>32</v>
      </c>
      <c r="F227" s="15">
        <f t="shared" si="4"/>
        <v>0</v>
      </c>
    </row>
    <row r="228">
      <c r="A228" s="11">
        <v>1539.0</v>
      </c>
      <c r="B228" s="12" t="s">
        <v>730</v>
      </c>
      <c r="C228" s="2" t="s">
        <v>32</v>
      </c>
      <c r="D228" s="2" t="s">
        <v>32</v>
      </c>
      <c r="E228" s="2" t="s">
        <v>32</v>
      </c>
      <c r="F228" s="15">
        <f t="shared" si="4"/>
        <v>0</v>
      </c>
    </row>
    <row r="229">
      <c r="A229" s="11">
        <v>160.0</v>
      </c>
      <c r="B229" s="12" t="s">
        <v>732</v>
      </c>
      <c r="C229" s="2" t="s">
        <v>32</v>
      </c>
      <c r="D229" s="2" t="s">
        <v>32</v>
      </c>
      <c r="E229" s="2" t="s">
        <v>32</v>
      </c>
      <c r="F229" s="15">
        <f t="shared" si="4"/>
        <v>0</v>
      </c>
    </row>
    <row r="230">
      <c r="A230" s="11">
        <v>166.0</v>
      </c>
      <c r="B230" s="12" t="s">
        <v>733</v>
      </c>
      <c r="C230" s="2" t="s">
        <v>32</v>
      </c>
      <c r="D230" s="2" t="s">
        <v>32</v>
      </c>
      <c r="E230" s="2" t="s">
        <v>32</v>
      </c>
      <c r="F230" s="15">
        <f t="shared" si="4"/>
        <v>1</v>
      </c>
    </row>
    <row r="231">
      <c r="A231" s="11">
        <v>184.0</v>
      </c>
      <c r="B231" s="12" t="s">
        <v>734</v>
      </c>
      <c r="C231" s="2" t="s">
        <v>41</v>
      </c>
      <c r="D231" s="2" t="s">
        <v>41</v>
      </c>
      <c r="E231" s="2" t="s">
        <v>41</v>
      </c>
      <c r="F231" s="15">
        <f t="shared" si="4"/>
        <v>0</v>
      </c>
    </row>
    <row r="232">
      <c r="A232" s="11">
        <v>211.0</v>
      </c>
      <c r="B232" s="12" t="s">
        <v>735</v>
      </c>
      <c r="C232" s="2" t="s">
        <v>32</v>
      </c>
      <c r="D232" s="2" t="s">
        <v>32</v>
      </c>
      <c r="E232" s="2" t="s">
        <v>32</v>
      </c>
      <c r="F232" s="15">
        <f t="shared" si="4"/>
        <v>0</v>
      </c>
    </row>
    <row r="233">
      <c r="A233" s="11">
        <v>220.0</v>
      </c>
      <c r="B233" s="12" t="s">
        <v>736</v>
      </c>
      <c r="C233" s="2" t="s">
        <v>32</v>
      </c>
      <c r="D233" s="2" t="s">
        <v>32</v>
      </c>
      <c r="E233" s="2" t="s">
        <v>32</v>
      </c>
      <c r="F233" s="15">
        <f t="shared" si="4"/>
        <v>0</v>
      </c>
    </row>
    <row r="234">
      <c r="A234" s="11">
        <v>245.0</v>
      </c>
      <c r="B234" s="12" t="s">
        <v>737</v>
      </c>
      <c r="C234" s="2" t="s">
        <v>32</v>
      </c>
      <c r="D234" s="2" t="s">
        <v>32</v>
      </c>
      <c r="E234" s="2" t="s">
        <v>32</v>
      </c>
      <c r="F234" s="15">
        <f t="shared" si="4"/>
        <v>0</v>
      </c>
    </row>
    <row r="235">
      <c r="A235" s="11">
        <v>253.0</v>
      </c>
      <c r="B235" s="12" t="s">
        <v>738</v>
      </c>
      <c r="C235" s="2" t="s">
        <v>32</v>
      </c>
      <c r="D235" s="2" t="s">
        <v>32</v>
      </c>
      <c r="E235" s="2" t="s">
        <v>32</v>
      </c>
      <c r="F235" s="15">
        <f t="shared" si="4"/>
        <v>0</v>
      </c>
    </row>
    <row r="236">
      <c r="A236" s="11">
        <v>259.0</v>
      </c>
      <c r="B236" s="12" t="s">
        <v>739</v>
      </c>
      <c r="C236" s="2" t="s">
        <v>32</v>
      </c>
      <c r="D236" s="2" t="s">
        <v>32</v>
      </c>
      <c r="E236" s="2" t="s">
        <v>32</v>
      </c>
      <c r="F236" s="15">
        <f t="shared" si="4"/>
        <v>0</v>
      </c>
    </row>
    <row r="237">
      <c r="A237" s="11">
        <v>2598.0</v>
      </c>
      <c r="B237" s="12" t="s">
        <v>740</v>
      </c>
      <c r="C237" s="2" t="s">
        <v>32</v>
      </c>
      <c r="D237" s="2" t="s">
        <v>32</v>
      </c>
      <c r="E237" s="2" t="s">
        <v>32</v>
      </c>
      <c r="F237" s="15">
        <f t="shared" si="4"/>
        <v>0</v>
      </c>
    </row>
    <row r="238">
      <c r="A238" s="11">
        <v>266.0</v>
      </c>
      <c r="B238" s="12" t="s">
        <v>742</v>
      </c>
      <c r="C238" s="2" t="s">
        <v>32</v>
      </c>
      <c r="D238" s="2" t="s">
        <v>32</v>
      </c>
      <c r="E238" s="2" t="s">
        <v>32</v>
      </c>
      <c r="F238" s="15">
        <f t="shared" si="4"/>
        <v>1</v>
      </c>
    </row>
    <row r="239">
      <c r="A239" s="11">
        <v>270.0</v>
      </c>
      <c r="B239" s="12" t="s">
        <v>749</v>
      </c>
      <c r="C239" s="2" t="s">
        <v>32</v>
      </c>
      <c r="D239" s="2" t="s">
        <v>32</v>
      </c>
      <c r="E239" s="2" t="s">
        <v>32</v>
      </c>
      <c r="F239" s="15">
        <f t="shared" si="4"/>
        <v>1</v>
      </c>
    </row>
    <row r="240">
      <c r="A240" s="11">
        <v>2864.0</v>
      </c>
      <c r="B240" s="12" t="s">
        <v>761</v>
      </c>
      <c r="C240" s="2" t="s">
        <v>32</v>
      </c>
      <c r="D240" s="2" t="s">
        <v>32</v>
      </c>
      <c r="E240" s="2" t="s">
        <v>32</v>
      </c>
      <c r="F240" s="15">
        <f t="shared" si="4"/>
        <v>0</v>
      </c>
    </row>
    <row r="241">
      <c r="A241" s="11">
        <v>298.0</v>
      </c>
      <c r="B241" s="12" t="s">
        <v>770</v>
      </c>
      <c r="C241" s="2" t="s">
        <v>32</v>
      </c>
      <c r="D241" s="2" t="s">
        <v>32</v>
      </c>
      <c r="E241" s="2" t="s">
        <v>32</v>
      </c>
      <c r="F241" s="15">
        <f t="shared" si="4"/>
        <v>1</v>
      </c>
    </row>
    <row r="242">
      <c r="A242" s="11">
        <v>3005.0</v>
      </c>
      <c r="B242" s="12" t="s">
        <v>776</v>
      </c>
      <c r="C242" s="2" t="s">
        <v>32</v>
      </c>
      <c r="D242" s="2" t="s">
        <v>32</v>
      </c>
      <c r="E242" s="2" t="s">
        <v>32</v>
      </c>
      <c r="F242" s="15">
        <f t="shared" si="4"/>
        <v>0</v>
      </c>
    </row>
    <row r="243">
      <c r="A243" s="11">
        <v>302.0</v>
      </c>
      <c r="B243" s="12" t="s">
        <v>778</v>
      </c>
      <c r="C243" s="2" t="s">
        <v>32</v>
      </c>
      <c r="D243" s="2" t="s">
        <v>32</v>
      </c>
      <c r="E243" s="2" t="s">
        <v>32</v>
      </c>
      <c r="F243" s="15">
        <f t="shared" si="4"/>
        <v>0</v>
      </c>
    </row>
    <row r="244">
      <c r="A244" s="11">
        <v>322.0</v>
      </c>
      <c r="B244" s="12" t="s">
        <v>780</v>
      </c>
      <c r="C244" s="2" t="s">
        <v>32</v>
      </c>
      <c r="D244" s="2" t="s">
        <v>32</v>
      </c>
      <c r="E244" s="2" t="s">
        <v>32</v>
      </c>
      <c r="F244" s="15">
        <f t="shared" si="4"/>
        <v>1</v>
      </c>
    </row>
    <row r="245">
      <c r="A245" s="11">
        <v>3415.0</v>
      </c>
      <c r="B245" s="12" t="s">
        <v>782</v>
      </c>
      <c r="C245" s="2" t="s">
        <v>32</v>
      </c>
      <c r="D245" s="2" t="s">
        <v>32</v>
      </c>
      <c r="E245" s="2" t="s">
        <v>32</v>
      </c>
      <c r="F245" s="15">
        <f t="shared" si="4"/>
        <v>0</v>
      </c>
    </row>
    <row r="246">
      <c r="A246" s="11">
        <v>3584.0</v>
      </c>
      <c r="B246" s="12" t="s">
        <v>783</v>
      </c>
      <c r="C246" s="2" t="s">
        <v>32</v>
      </c>
      <c r="D246" s="2" t="s">
        <v>32</v>
      </c>
      <c r="E246" s="2" t="s">
        <v>32</v>
      </c>
      <c r="F246" s="15">
        <f t="shared" si="4"/>
        <v>0</v>
      </c>
    </row>
    <row r="247">
      <c r="A247" s="11">
        <v>3633.0</v>
      </c>
      <c r="B247" s="12" t="s">
        <v>784</v>
      </c>
      <c r="C247" s="2" t="s">
        <v>32</v>
      </c>
      <c r="D247" s="2" t="s">
        <v>32</v>
      </c>
      <c r="E247" s="2" t="s">
        <v>32</v>
      </c>
      <c r="F247" s="15">
        <f t="shared" si="4"/>
        <v>0</v>
      </c>
    </row>
    <row r="248">
      <c r="A248" s="11">
        <v>3662.0</v>
      </c>
      <c r="B248" s="12" t="s">
        <v>785</v>
      </c>
      <c r="C248" s="2" t="s">
        <v>41</v>
      </c>
      <c r="D248" s="2" t="s">
        <v>41</v>
      </c>
      <c r="E248" s="2" t="s">
        <v>41</v>
      </c>
      <c r="F248" s="15">
        <f t="shared" si="4"/>
        <v>0</v>
      </c>
    </row>
    <row r="249">
      <c r="A249" s="11">
        <v>3807.0</v>
      </c>
      <c r="B249" s="12" t="s">
        <v>787</v>
      </c>
      <c r="C249" s="2" t="s">
        <v>32</v>
      </c>
      <c r="D249" s="2" t="s">
        <v>32</v>
      </c>
      <c r="E249" s="2" t="s">
        <v>32</v>
      </c>
      <c r="F249" s="15">
        <f t="shared" si="4"/>
        <v>0</v>
      </c>
    </row>
    <row r="250">
      <c r="A250" s="11">
        <v>3836.0</v>
      </c>
      <c r="B250" s="12" t="s">
        <v>788</v>
      </c>
      <c r="C250" s="2" t="s">
        <v>32</v>
      </c>
      <c r="D250" s="2" t="s">
        <v>32</v>
      </c>
      <c r="E250" s="2" t="s">
        <v>32</v>
      </c>
      <c r="F250" s="15">
        <f t="shared" si="4"/>
        <v>0</v>
      </c>
    </row>
    <row r="251">
      <c r="A251" s="11">
        <v>4182.0</v>
      </c>
      <c r="B251" s="12" t="s">
        <v>789</v>
      </c>
      <c r="C251" s="2" t="s">
        <v>32</v>
      </c>
      <c r="D251" s="2" t="s">
        <v>32</v>
      </c>
      <c r="E251" s="2" t="s">
        <v>32</v>
      </c>
      <c r="F251" s="15">
        <f t="shared" si="4"/>
        <v>0</v>
      </c>
    </row>
    <row r="252">
      <c r="A252" s="11">
        <v>43.0</v>
      </c>
      <c r="B252" s="12" t="s">
        <v>790</v>
      </c>
      <c r="C252" s="2" t="s">
        <v>32</v>
      </c>
      <c r="D252" s="2" t="s">
        <v>32</v>
      </c>
      <c r="E252" s="2" t="s">
        <v>32</v>
      </c>
      <c r="F252" s="15">
        <f t="shared" si="4"/>
        <v>0</v>
      </c>
    </row>
    <row r="253">
      <c r="A253" s="11">
        <v>4334.0</v>
      </c>
      <c r="B253" s="12" t="s">
        <v>791</v>
      </c>
      <c r="C253" s="2" t="s">
        <v>32</v>
      </c>
      <c r="D253" s="2" t="s">
        <v>32</v>
      </c>
      <c r="E253" s="2" t="s">
        <v>32</v>
      </c>
      <c r="F253" s="15">
        <f t="shared" si="4"/>
        <v>0</v>
      </c>
    </row>
    <row r="254">
      <c r="A254" s="11">
        <v>442.0</v>
      </c>
      <c r="B254" s="12" t="s">
        <v>792</v>
      </c>
      <c r="C254" s="2" t="s">
        <v>32</v>
      </c>
      <c r="D254" s="2" t="s">
        <v>32</v>
      </c>
      <c r="E254" s="2" t="s">
        <v>32</v>
      </c>
      <c r="F254" s="15">
        <f t="shared" si="4"/>
        <v>0</v>
      </c>
    </row>
    <row r="255">
      <c r="A255" s="11">
        <v>4947.0</v>
      </c>
      <c r="B255" s="12" t="s">
        <v>793</v>
      </c>
      <c r="C255" s="2" t="s">
        <v>32</v>
      </c>
      <c r="D255" s="2" t="s">
        <v>32</v>
      </c>
      <c r="E255" s="2" t="s">
        <v>32</v>
      </c>
      <c r="F255" s="15">
        <f t="shared" si="4"/>
        <v>0</v>
      </c>
    </row>
    <row r="256">
      <c r="A256" s="11">
        <v>5178.0</v>
      </c>
      <c r="B256" s="12" t="s">
        <v>794</v>
      </c>
      <c r="C256" s="2" t="s">
        <v>32</v>
      </c>
      <c r="D256" s="2" t="s">
        <v>32</v>
      </c>
      <c r="E256" s="2" t="s">
        <v>32</v>
      </c>
      <c r="F256" s="15">
        <f t="shared" si="4"/>
        <v>0</v>
      </c>
    </row>
    <row r="257">
      <c r="A257" s="11">
        <v>5338.0</v>
      </c>
      <c r="B257" s="12" t="s">
        <v>795</v>
      </c>
      <c r="C257" s="2" t="s">
        <v>32</v>
      </c>
      <c r="D257" s="2" t="s">
        <v>32</v>
      </c>
      <c r="E257" s="2" t="s">
        <v>32</v>
      </c>
      <c r="F257" s="15">
        <f t="shared" si="4"/>
        <v>0</v>
      </c>
    </row>
    <row r="258">
      <c r="A258" s="11">
        <v>5343.0</v>
      </c>
      <c r="B258" s="12" t="s">
        <v>796</v>
      </c>
      <c r="C258" s="2" t="s">
        <v>32</v>
      </c>
      <c r="D258" s="2" t="s">
        <v>32</v>
      </c>
      <c r="E258" s="2" t="s">
        <v>32</v>
      </c>
      <c r="F258" s="15">
        <f t="shared" si="4"/>
        <v>0</v>
      </c>
    </row>
    <row r="259">
      <c r="A259" s="11">
        <v>536.0</v>
      </c>
      <c r="B259" s="12" t="s">
        <v>797</v>
      </c>
      <c r="C259" s="2" t="s">
        <v>32</v>
      </c>
      <c r="D259" s="2" t="s">
        <v>32</v>
      </c>
      <c r="E259" s="2" t="s">
        <v>32</v>
      </c>
      <c r="F259" s="15">
        <f t="shared" si="4"/>
        <v>0</v>
      </c>
    </row>
    <row r="260">
      <c r="A260" s="11">
        <v>5452.0</v>
      </c>
      <c r="B260" s="12" t="s">
        <v>798</v>
      </c>
      <c r="C260" s="2" t="s">
        <v>32</v>
      </c>
      <c r="D260" s="2" t="s">
        <v>32</v>
      </c>
      <c r="E260" s="2" t="s">
        <v>32</v>
      </c>
      <c r="F260" s="15">
        <f t="shared" si="4"/>
        <v>0</v>
      </c>
    </row>
    <row r="261">
      <c r="A261" s="11">
        <v>5489.0</v>
      </c>
      <c r="B261" s="12" t="s">
        <v>799</v>
      </c>
      <c r="C261" s="2" t="s">
        <v>32</v>
      </c>
      <c r="D261" s="2" t="s">
        <v>32</v>
      </c>
      <c r="E261" s="2" t="s">
        <v>32</v>
      </c>
      <c r="F261" s="15">
        <f t="shared" si="4"/>
        <v>0</v>
      </c>
    </row>
    <row r="262">
      <c r="A262" s="11">
        <v>5517.0</v>
      </c>
      <c r="B262" s="12" t="s">
        <v>800</v>
      </c>
      <c r="C262" s="2" t="s">
        <v>32</v>
      </c>
      <c r="D262" s="2" t="s">
        <v>32</v>
      </c>
      <c r="E262" s="2" t="s">
        <v>32</v>
      </c>
      <c r="F262" s="15">
        <f t="shared" si="4"/>
        <v>0</v>
      </c>
    </row>
    <row r="263">
      <c r="A263" s="11">
        <v>5616.0</v>
      </c>
      <c r="B263" s="12" t="s">
        <v>801</v>
      </c>
      <c r="C263" s="2" t="s">
        <v>32</v>
      </c>
      <c r="D263" s="2" t="s">
        <v>32</v>
      </c>
      <c r="E263" s="2" t="s">
        <v>32</v>
      </c>
      <c r="F263" s="15">
        <f t="shared" si="4"/>
        <v>0</v>
      </c>
    </row>
    <row r="264">
      <c r="A264" s="11">
        <v>5781.0</v>
      </c>
      <c r="B264" s="12" t="s">
        <v>803</v>
      </c>
      <c r="C264" s="2" t="s">
        <v>32</v>
      </c>
      <c r="D264" s="2" t="s">
        <v>32</v>
      </c>
      <c r="E264" s="2" t="s">
        <v>32</v>
      </c>
      <c r="F264" s="15">
        <f t="shared" si="4"/>
        <v>0</v>
      </c>
    </row>
    <row r="265">
      <c r="A265" s="11">
        <v>5950.0</v>
      </c>
      <c r="B265" s="12" t="s">
        <v>804</v>
      </c>
      <c r="C265" s="2" t="s">
        <v>32</v>
      </c>
      <c r="D265" s="2" t="s">
        <v>32</v>
      </c>
      <c r="E265" s="2" t="s">
        <v>32</v>
      </c>
      <c r="F265" s="15">
        <f t="shared" si="4"/>
        <v>0</v>
      </c>
    </row>
    <row r="266">
      <c r="A266" s="11">
        <v>596.0</v>
      </c>
      <c r="B266" s="12" t="s">
        <v>805</v>
      </c>
      <c r="C266" s="2" t="s">
        <v>32</v>
      </c>
      <c r="D266" s="2" t="s">
        <v>32</v>
      </c>
      <c r="E266" s="2" t="s">
        <v>32</v>
      </c>
      <c r="F266" s="15">
        <f t="shared" si="4"/>
        <v>1</v>
      </c>
    </row>
    <row r="267">
      <c r="A267" s="11">
        <v>610.0</v>
      </c>
      <c r="B267" s="12" t="s">
        <v>806</v>
      </c>
      <c r="C267" s="2" t="s">
        <v>32</v>
      </c>
      <c r="D267" s="2" t="s">
        <v>32</v>
      </c>
      <c r="E267" s="2" t="s">
        <v>32</v>
      </c>
      <c r="F267" s="15">
        <f t="shared" si="4"/>
        <v>0</v>
      </c>
    </row>
    <row r="268">
      <c r="A268" s="11">
        <v>650.0</v>
      </c>
      <c r="B268" s="12" t="s">
        <v>807</v>
      </c>
      <c r="C268" s="2" t="s">
        <v>32</v>
      </c>
      <c r="D268" s="2" t="s">
        <v>32</v>
      </c>
      <c r="E268" s="2" t="s">
        <v>32</v>
      </c>
      <c r="F268" s="15">
        <f t="shared" si="4"/>
        <v>0</v>
      </c>
    </row>
    <row r="269">
      <c r="A269" s="11">
        <v>665.0</v>
      </c>
      <c r="B269" s="12" t="s">
        <v>808</v>
      </c>
      <c r="C269" s="2" t="s">
        <v>32</v>
      </c>
      <c r="D269" s="2" t="s">
        <v>32</v>
      </c>
      <c r="E269" s="2" t="s">
        <v>32</v>
      </c>
      <c r="F269" s="15">
        <f t="shared" si="4"/>
        <v>0</v>
      </c>
    </row>
    <row r="270">
      <c r="A270" s="11">
        <v>6744.0</v>
      </c>
      <c r="B270" s="12" t="s">
        <v>809</v>
      </c>
      <c r="C270" s="2" t="s">
        <v>32</v>
      </c>
      <c r="D270" s="2" t="s">
        <v>32</v>
      </c>
      <c r="E270" s="2" t="s">
        <v>32</v>
      </c>
      <c r="F270" s="15">
        <f t="shared" si="4"/>
        <v>0</v>
      </c>
    </row>
    <row r="271">
      <c r="A271" s="11">
        <v>687.0</v>
      </c>
      <c r="B271" s="12" t="s">
        <v>810</v>
      </c>
      <c r="C271" s="2" t="s">
        <v>32</v>
      </c>
      <c r="D271" s="2" t="s">
        <v>32</v>
      </c>
      <c r="E271" s="2" t="s">
        <v>32</v>
      </c>
      <c r="F271" s="15">
        <f t="shared" si="4"/>
        <v>0</v>
      </c>
    </row>
    <row r="272">
      <c r="A272" s="11">
        <v>692.0</v>
      </c>
      <c r="B272" s="12" t="s">
        <v>811</v>
      </c>
      <c r="C272" s="2" t="s">
        <v>32</v>
      </c>
      <c r="D272" s="2" t="s">
        <v>32</v>
      </c>
      <c r="E272" s="2" t="s">
        <v>32</v>
      </c>
      <c r="F272" s="15">
        <f t="shared" si="4"/>
        <v>0</v>
      </c>
    </row>
    <row r="273">
      <c r="A273" s="11">
        <v>697.0</v>
      </c>
      <c r="B273" s="12" t="s">
        <v>812</v>
      </c>
      <c r="C273" s="2" t="s">
        <v>32</v>
      </c>
      <c r="D273" s="2" t="s">
        <v>32</v>
      </c>
      <c r="E273" s="2" t="s">
        <v>32</v>
      </c>
      <c r="F273" s="15">
        <f t="shared" si="4"/>
        <v>0</v>
      </c>
    </row>
    <row r="274">
      <c r="A274" s="11">
        <v>749.0</v>
      </c>
      <c r="B274" s="12" t="s">
        <v>813</v>
      </c>
      <c r="C274" s="2" t="s">
        <v>32</v>
      </c>
      <c r="D274" s="2" t="s">
        <v>32</v>
      </c>
      <c r="E274" s="2" t="s">
        <v>32</v>
      </c>
      <c r="F274" s="15">
        <f t="shared" si="4"/>
        <v>0</v>
      </c>
    </row>
    <row r="275">
      <c r="A275" s="11">
        <v>773.0</v>
      </c>
      <c r="B275" s="12" t="s">
        <v>814</v>
      </c>
      <c r="C275" s="2" t="s">
        <v>32</v>
      </c>
      <c r="D275" s="2" t="s">
        <v>32</v>
      </c>
      <c r="E275" s="2" t="s">
        <v>32</v>
      </c>
      <c r="F275" s="15">
        <f t="shared" si="4"/>
        <v>0</v>
      </c>
    </row>
    <row r="276">
      <c r="A276" s="11">
        <v>80.0</v>
      </c>
      <c r="B276" s="12" t="s">
        <v>815</v>
      </c>
      <c r="C276" s="2" t="s">
        <v>32</v>
      </c>
      <c r="D276" s="2" t="s">
        <v>32</v>
      </c>
      <c r="E276" s="2" t="s">
        <v>32</v>
      </c>
      <c r="F276" s="15">
        <f t="shared" si="4"/>
        <v>0</v>
      </c>
    </row>
    <row r="277">
      <c r="A277" s="11">
        <v>8226.0</v>
      </c>
      <c r="B277" s="12" t="s">
        <v>816</v>
      </c>
      <c r="C277" s="2" t="s">
        <v>32</v>
      </c>
      <c r="D277" s="2" t="s">
        <v>32</v>
      </c>
      <c r="E277" s="2" t="s">
        <v>32</v>
      </c>
      <c r="F277" s="15">
        <f t="shared" si="4"/>
        <v>0</v>
      </c>
    </row>
    <row r="278">
      <c r="A278" s="11">
        <v>8666.0</v>
      </c>
      <c r="B278" s="12" t="s">
        <v>817</v>
      </c>
      <c r="C278" s="2" t="s">
        <v>32</v>
      </c>
      <c r="D278" s="2" t="s">
        <v>32</v>
      </c>
      <c r="E278" s="2" t="s">
        <v>32</v>
      </c>
      <c r="F278" s="15">
        <f t="shared" si="4"/>
        <v>0</v>
      </c>
    </row>
    <row r="279">
      <c r="A279" s="11">
        <v>869.0</v>
      </c>
      <c r="B279" s="12" t="s">
        <v>818</v>
      </c>
      <c r="C279" s="2" t="s">
        <v>32</v>
      </c>
      <c r="D279" s="2" t="s">
        <v>32</v>
      </c>
      <c r="E279" s="2" t="s">
        <v>32</v>
      </c>
      <c r="F279" s="15">
        <f t="shared" si="4"/>
        <v>0</v>
      </c>
    </row>
    <row r="280">
      <c r="A280" s="11">
        <v>875.0</v>
      </c>
      <c r="B280" s="12" t="s">
        <v>819</v>
      </c>
      <c r="C280" s="2" t="s">
        <v>41</v>
      </c>
      <c r="D280" s="2" t="s">
        <v>41</v>
      </c>
      <c r="E280" s="2" t="s">
        <v>41</v>
      </c>
      <c r="F280" s="15">
        <f t="shared" si="4"/>
        <v>0</v>
      </c>
    </row>
    <row r="281">
      <c r="A281" s="11">
        <v>899.0</v>
      </c>
      <c r="B281" s="12" t="s">
        <v>820</v>
      </c>
      <c r="C281" s="2" t="s">
        <v>32</v>
      </c>
      <c r="D281" s="2" t="s">
        <v>32</v>
      </c>
      <c r="E281" s="2" t="s">
        <v>32</v>
      </c>
      <c r="F281" s="15">
        <f t="shared" si="4"/>
        <v>0</v>
      </c>
    </row>
    <row r="282">
      <c r="A282" s="11">
        <v>905.0</v>
      </c>
      <c r="B282" s="12" t="s">
        <v>821</v>
      </c>
      <c r="C282" s="2" t="s">
        <v>32</v>
      </c>
      <c r="D282" s="2" t="s">
        <v>32</v>
      </c>
      <c r="E282" s="2" t="s">
        <v>32</v>
      </c>
      <c r="F282" s="15">
        <f t="shared" si="4"/>
        <v>0</v>
      </c>
    </row>
    <row r="283">
      <c r="A283" s="11">
        <v>9409.0</v>
      </c>
      <c r="B283" s="12" t="s">
        <v>822</v>
      </c>
      <c r="C283" s="2" t="s">
        <v>32</v>
      </c>
      <c r="D283" s="2" t="s">
        <v>32</v>
      </c>
      <c r="E283" s="2" t="s">
        <v>32</v>
      </c>
      <c r="F283" s="15">
        <f t="shared" si="4"/>
        <v>0</v>
      </c>
    </row>
    <row r="284">
      <c r="A284" s="11">
        <v>959.0</v>
      </c>
      <c r="B284" s="12" t="s">
        <v>823</v>
      </c>
      <c r="C284" s="2" t="s">
        <v>32</v>
      </c>
      <c r="D284" s="2" t="s">
        <v>32</v>
      </c>
      <c r="E284" s="2" t="s">
        <v>32</v>
      </c>
      <c r="F284" s="15">
        <f t="shared" si="4"/>
        <v>0</v>
      </c>
    </row>
    <row r="285">
      <c r="A285" s="11">
        <v>962.0</v>
      </c>
      <c r="B285" s="12" t="s">
        <v>825</v>
      </c>
      <c r="C285" s="2" t="s">
        <v>32</v>
      </c>
      <c r="D285" s="2" t="s">
        <v>32</v>
      </c>
      <c r="E285" s="2" t="s">
        <v>32</v>
      </c>
      <c r="F285" s="15">
        <f t="shared" si="4"/>
        <v>1</v>
      </c>
    </row>
    <row r="286">
      <c r="A286" s="11">
        <v>979.0</v>
      </c>
      <c r="B286" s="12" t="s">
        <v>826</v>
      </c>
      <c r="C286" s="2" t="s">
        <v>32</v>
      </c>
      <c r="D286" s="2" t="s">
        <v>32</v>
      </c>
      <c r="E286" s="2" t="s">
        <v>32</v>
      </c>
      <c r="F286" s="15">
        <f t="shared" si="4"/>
        <v>0</v>
      </c>
    </row>
    <row r="287">
      <c r="A287" s="11">
        <v>1058.0</v>
      </c>
      <c r="B287" s="12" t="s">
        <v>827</v>
      </c>
      <c r="C287" s="2" t="s">
        <v>32</v>
      </c>
      <c r="D287" s="2" t="s">
        <v>32</v>
      </c>
      <c r="E287" s="2" t="s">
        <v>32</v>
      </c>
      <c r="F287" s="15">
        <f t="shared" si="4"/>
        <v>0</v>
      </c>
    </row>
    <row r="288">
      <c r="A288" s="11">
        <v>1110.0</v>
      </c>
      <c r="B288" s="12" t="s">
        <v>828</v>
      </c>
      <c r="C288" s="2" t="s">
        <v>32</v>
      </c>
      <c r="D288" s="2" t="s">
        <v>32</v>
      </c>
      <c r="E288" s="2" t="s">
        <v>32</v>
      </c>
      <c r="F288" s="15">
        <f t="shared" si="4"/>
        <v>0</v>
      </c>
    </row>
    <row r="289">
      <c r="A289" s="11">
        <v>1153.0</v>
      </c>
      <c r="B289" s="12" t="s">
        <v>829</v>
      </c>
      <c r="C289" s="2" t="s">
        <v>32</v>
      </c>
      <c r="D289" s="2" t="s">
        <v>32</v>
      </c>
      <c r="E289" s="2" t="s">
        <v>32</v>
      </c>
      <c r="F289" s="15">
        <f t="shared" si="4"/>
        <v>0</v>
      </c>
    </row>
    <row r="290">
      <c r="A290" s="11">
        <v>1160.0</v>
      </c>
      <c r="B290" s="12" t="s">
        <v>830</v>
      </c>
      <c r="C290" s="2" t="s">
        <v>32</v>
      </c>
      <c r="D290" s="2" t="s">
        <v>32</v>
      </c>
      <c r="E290" s="2" t="s">
        <v>32</v>
      </c>
      <c r="F290" s="15">
        <f t="shared" si="4"/>
        <v>0</v>
      </c>
    </row>
    <row r="291">
      <c r="A291" s="11">
        <v>1297.0</v>
      </c>
      <c r="B291" s="12" t="s">
        <v>831</v>
      </c>
      <c r="C291" s="2" t="s">
        <v>32</v>
      </c>
      <c r="D291" s="2" t="s">
        <v>32</v>
      </c>
      <c r="E291" s="2" t="s">
        <v>32</v>
      </c>
      <c r="F291" s="15">
        <f t="shared" si="4"/>
        <v>1</v>
      </c>
    </row>
    <row r="292">
      <c r="A292" s="11">
        <v>1336.0</v>
      </c>
      <c r="B292" s="12" t="s">
        <v>832</v>
      </c>
      <c r="C292" s="2" t="s">
        <v>32</v>
      </c>
      <c r="D292" s="2" t="s">
        <v>32</v>
      </c>
      <c r="E292" s="2" t="s">
        <v>32</v>
      </c>
      <c r="F292" s="15">
        <f t="shared" si="4"/>
        <v>0</v>
      </c>
    </row>
    <row r="293">
      <c r="A293" s="11">
        <v>1351.0</v>
      </c>
      <c r="B293" s="12" t="s">
        <v>833</v>
      </c>
      <c r="C293" s="2" t="s">
        <v>32</v>
      </c>
      <c r="D293" s="2" t="s">
        <v>32</v>
      </c>
      <c r="E293" s="2" t="s">
        <v>32</v>
      </c>
      <c r="F293" s="15">
        <f t="shared" si="4"/>
        <v>1</v>
      </c>
    </row>
    <row r="294">
      <c r="A294" s="11">
        <v>1381.0</v>
      </c>
      <c r="B294" s="12" t="s">
        <v>834</v>
      </c>
      <c r="C294" s="2" t="s">
        <v>32</v>
      </c>
      <c r="D294" s="2" t="s">
        <v>32</v>
      </c>
      <c r="E294" s="2" t="s">
        <v>32</v>
      </c>
      <c r="F294" s="15">
        <f t="shared" si="4"/>
        <v>0</v>
      </c>
    </row>
    <row r="295">
      <c r="A295" s="11">
        <v>1391.0</v>
      </c>
      <c r="B295" s="12" t="s">
        <v>835</v>
      </c>
      <c r="C295" s="2" t="s">
        <v>41</v>
      </c>
      <c r="D295" s="2" t="s">
        <v>32</v>
      </c>
      <c r="E295" s="2" t="s">
        <v>41</v>
      </c>
      <c r="F295" s="15">
        <f t="shared" si="4"/>
        <v>0</v>
      </c>
    </row>
    <row r="296">
      <c r="A296" s="11">
        <v>1476.0</v>
      </c>
      <c r="B296" s="12" t="s">
        <v>836</v>
      </c>
      <c r="C296" s="2" t="s">
        <v>32</v>
      </c>
      <c r="D296" s="2" t="s">
        <v>41</v>
      </c>
      <c r="E296" s="2" t="s">
        <v>41</v>
      </c>
      <c r="F296" s="15">
        <f t="shared" si="4"/>
        <v>0</v>
      </c>
    </row>
    <row r="297">
      <c r="A297" s="11">
        <v>1490.0</v>
      </c>
      <c r="B297" s="12" t="s">
        <v>837</v>
      </c>
      <c r="C297" s="2" t="s">
        <v>32</v>
      </c>
      <c r="D297" s="2" t="s">
        <v>32</v>
      </c>
      <c r="E297" s="2" t="s">
        <v>32</v>
      </c>
      <c r="F297" s="15">
        <f t="shared" si="4"/>
        <v>0</v>
      </c>
    </row>
    <row r="298">
      <c r="A298" s="11">
        <v>1503.0</v>
      </c>
      <c r="B298" s="12" t="s">
        <v>838</v>
      </c>
      <c r="C298" s="2" t="s">
        <v>32</v>
      </c>
      <c r="D298" s="2" t="s">
        <v>32</v>
      </c>
      <c r="E298" s="2" t="s">
        <v>32</v>
      </c>
      <c r="F298" s="15">
        <f t="shared" si="4"/>
        <v>0</v>
      </c>
    </row>
    <row r="299">
      <c r="A299" s="11">
        <v>159.0</v>
      </c>
      <c r="B299" s="12" t="s">
        <v>839</v>
      </c>
      <c r="C299" s="2" t="s">
        <v>32</v>
      </c>
      <c r="D299" s="2" t="s">
        <v>32</v>
      </c>
      <c r="E299" s="2" t="s">
        <v>32</v>
      </c>
      <c r="F299" s="15">
        <f t="shared" si="4"/>
        <v>0</v>
      </c>
    </row>
    <row r="300">
      <c r="A300" s="11">
        <v>1703.0</v>
      </c>
      <c r="B300" s="12" t="s">
        <v>840</v>
      </c>
      <c r="C300" s="2" t="s">
        <v>32</v>
      </c>
      <c r="D300" s="2" t="s">
        <v>32</v>
      </c>
      <c r="E300" s="2" t="s">
        <v>32</v>
      </c>
      <c r="F300" s="15">
        <f t="shared" si="4"/>
        <v>1</v>
      </c>
    </row>
    <row r="301">
      <c r="A301" s="11">
        <v>1869.0</v>
      </c>
      <c r="B301" s="12" t="s">
        <v>841</v>
      </c>
      <c r="C301" s="2" t="s">
        <v>32</v>
      </c>
      <c r="D301" s="2" t="s">
        <v>32</v>
      </c>
      <c r="E301" s="2" t="s">
        <v>32</v>
      </c>
      <c r="F301" s="15">
        <f t="shared" si="4"/>
        <v>0</v>
      </c>
    </row>
    <row r="302">
      <c r="A302" s="11">
        <v>194.0</v>
      </c>
      <c r="B302" s="12" t="s">
        <v>842</v>
      </c>
      <c r="C302" s="2" t="s">
        <v>32</v>
      </c>
      <c r="D302" s="2" t="s">
        <v>32</v>
      </c>
      <c r="E302" s="2" t="s">
        <v>32</v>
      </c>
      <c r="F302" s="15">
        <f t="shared" si="4"/>
        <v>1</v>
      </c>
    </row>
    <row r="303">
      <c r="A303" s="11">
        <v>2067.0</v>
      </c>
      <c r="B303" s="12" t="s">
        <v>843</v>
      </c>
      <c r="C303" s="2" t="s">
        <v>32</v>
      </c>
      <c r="D303" s="2" t="s">
        <v>32</v>
      </c>
      <c r="E303" s="2" t="s">
        <v>32</v>
      </c>
      <c r="F303" s="15">
        <f t="shared" si="4"/>
        <v>0</v>
      </c>
    </row>
    <row r="304">
      <c r="A304" s="11">
        <v>2175.0</v>
      </c>
      <c r="B304" s="12" t="s">
        <v>844</v>
      </c>
      <c r="C304" s="2" t="s">
        <v>32</v>
      </c>
      <c r="D304" s="2" t="s">
        <v>32</v>
      </c>
      <c r="E304" s="2" t="s">
        <v>32</v>
      </c>
      <c r="F304" s="15">
        <f t="shared" si="4"/>
        <v>0</v>
      </c>
    </row>
    <row r="305">
      <c r="A305" s="11">
        <v>2191.0</v>
      </c>
      <c r="B305" s="12" t="s">
        <v>845</v>
      </c>
      <c r="C305" s="2" t="s">
        <v>32</v>
      </c>
      <c r="D305" s="2" t="s">
        <v>32</v>
      </c>
      <c r="E305" s="2" t="s">
        <v>32</v>
      </c>
      <c r="F305" s="15">
        <f t="shared" si="4"/>
        <v>1</v>
      </c>
    </row>
    <row r="306">
      <c r="A306" s="11">
        <v>2260.0</v>
      </c>
      <c r="B306" s="12" t="s">
        <v>846</v>
      </c>
      <c r="C306" s="2" t="s">
        <v>32</v>
      </c>
      <c r="D306" s="2" t="s">
        <v>32</v>
      </c>
      <c r="E306" s="2" t="s">
        <v>32</v>
      </c>
      <c r="F306" s="15">
        <f t="shared" si="4"/>
        <v>0</v>
      </c>
    </row>
    <row r="307">
      <c r="A307" s="11">
        <v>2330.0</v>
      </c>
      <c r="B307" s="12" t="s">
        <v>847</v>
      </c>
      <c r="C307" s="2" t="s">
        <v>32</v>
      </c>
      <c r="D307" s="2" t="s">
        <v>32</v>
      </c>
      <c r="E307" s="2" t="s">
        <v>32</v>
      </c>
      <c r="F307" s="15">
        <f t="shared" si="4"/>
        <v>1</v>
      </c>
    </row>
    <row r="308">
      <c r="A308" s="11">
        <v>240.0</v>
      </c>
      <c r="B308" s="12" t="s">
        <v>848</v>
      </c>
      <c r="C308" s="2" t="s">
        <v>32</v>
      </c>
      <c r="D308" s="2" t="s">
        <v>32</v>
      </c>
      <c r="E308" s="2" t="s">
        <v>32</v>
      </c>
      <c r="F308" s="15">
        <f t="shared" si="4"/>
        <v>1</v>
      </c>
    </row>
    <row r="309">
      <c r="A309" s="11">
        <v>2402.0</v>
      </c>
      <c r="B309" s="12" t="s">
        <v>849</v>
      </c>
      <c r="C309" s="2" t="s">
        <v>32</v>
      </c>
      <c r="D309" s="2" t="s">
        <v>32</v>
      </c>
      <c r="E309" s="2" t="s">
        <v>32</v>
      </c>
      <c r="F309" s="15">
        <f t="shared" si="4"/>
        <v>0</v>
      </c>
    </row>
    <row r="310">
      <c r="A310" s="11">
        <v>2421.0</v>
      </c>
      <c r="B310" s="12" t="s">
        <v>850</v>
      </c>
      <c r="C310" s="2" t="s">
        <v>32</v>
      </c>
      <c r="D310" s="2" t="s">
        <v>32</v>
      </c>
      <c r="E310" s="2" t="s">
        <v>32</v>
      </c>
      <c r="F310" s="15">
        <f t="shared" si="4"/>
        <v>0</v>
      </c>
    </row>
    <row r="311">
      <c r="A311" s="11">
        <v>2434.0</v>
      </c>
      <c r="B311" s="12" t="s">
        <v>852</v>
      </c>
      <c r="C311" s="2" t="s">
        <v>32</v>
      </c>
      <c r="D311" s="2" t="s">
        <v>32</v>
      </c>
      <c r="E311" s="2" t="s">
        <v>32</v>
      </c>
      <c r="F311" s="15">
        <f t="shared" si="4"/>
        <v>1</v>
      </c>
    </row>
    <row r="312">
      <c r="A312" s="11">
        <v>2543.0</v>
      </c>
      <c r="B312" s="12" t="s">
        <v>853</v>
      </c>
      <c r="C312" s="2" t="s">
        <v>41</v>
      </c>
      <c r="D312" s="2" t="s">
        <v>41</v>
      </c>
      <c r="E312" s="2" t="s">
        <v>41</v>
      </c>
      <c r="F312" s="15">
        <f t="shared" si="4"/>
        <v>0</v>
      </c>
    </row>
    <row r="313">
      <c r="A313" s="11">
        <v>2551.0</v>
      </c>
      <c r="B313" s="12" t="s">
        <v>854</v>
      </c>
      <c r="C313" s="2" t="s">
        <v>32</v>
      </c>
      <c r="D313" s="2" t="s">
        <v>32</v>
      </c>
      <c r="E313" s="2" t="s">
        <v>32</v>
      </c>
      <c r="F313" s="15">
        <f t="shared" si="4"/>
        <v>0</v>
      </c>
    </row>
    <row r="314">
      <c r="A314" s="11">
        <v>2561.0</v>
      </c>
      <c r="B314" s="12" t="s">
        <v>855</v>
      </c>
      <c r="C314" s="2" t="s">
        <v>32</v>
      </c>
      <c r="D314" s="2" t="s">
        <v>32</v>
      </c>
      <c r="E314" s="2" t="s">
        <v>32</v>
      </c>
      <c r="F314" s="15">
        <f t="shared" si="4"/>
        <v>1</v>
      </c>
    </row>
    <row r="315">
      <c r="A315" s="11">
        <v>2587.0</v>
      </c>
      <c r="B315" s="12" t="s">
        <v>856</v>
      </c>
      <c r="C315" s="2" t="s">
        <v>32</v>
      </c>
      <c r="D315" s="2" t="s">
        <v>32</v>
      </c>
      <c r="E315" s="2" t="s">
        <v>32</v>
      </c>
      <c r="F315" s="15">
        <f t="shared" si="4"/>
        <v>1</v>
      </c>
    </row>
    <row r="316">
      <c r="A316" s="11">
        <v>2593.0</v>
      </c>
      <c r="B316" s="12" t="s">
        <v>857</v>
      </c>
      <c r="C316" s="2" t="s">
        <v>32</v>
      </c>
      <c r="D316" s="2" t="s">
        <v>32</v>
      </c>
      <c r="E316" s="2" t="s">
        <v>32</v>
      </c>
      <c r="F316" s="15">
        <f t="shared" si="4"/>
        <v>0</v>
      </c>
    </row>
    <row r="317">
      <c r="A317" s="11">
        <v>2776.0</v>
      </c>
      <c r="B317" s="12" t="s">
        <v>858</v>
      </c>
      <c r="C317" s="2" t="s">
        <v>32</v>
      </c>
      <c r="D317" s="2" t="s">
        <v>32</v>
      </c>
      <c r="E317" s="2" t="s">
        <v>32</v>
      </c>
      <c r="F317" s="15">
        <f t="shared" si="4"/>
        <v>0</v>
      </c>
    </row>
    <row r="318">
      <c r="A318" s="11">
        <v>2789.0</v>
      </c>
      <c r="B318" s="12" t="s">
        <v>859</v>
      </c>
      <c r="C318" s="2" t="s">
        <v>32</v>
      </c>
      <c r="D318" s="2" t="s">
        <v>32</v>
      </c>
      <c r="E318" s="2" t="s">
        <v>32</v>
      </c>
      <c r="F318" s="15">
        <f t="shared" si="4"/>
        <v>1</v>
      </c>
    </row>
    <row r="319">
      <c r="A319" s="11">
        <v>2871.0</v>
      </c>
      <c r="B319" s="12" t="s">
        <v>860</v>
      </c>
      <c r="C319" s="2" t="s">
        <v>32</v>
      </c>
      <c r="D319" s="2" t="s">
        <v>32</v>
      </c>
      <c r="E319" s="2" t="s">
        <v>32</v>
      </c>
      <c r="F319" s="15">
        <f t="shared" si="4"/>
        <v>0</v>
      </c>
    </row>
    <row r="320">
      <c r="A320" s="11">
        <v>2899.0</v>
      </c>
      <c r="B320" s="12" t="s">
        <v>862</v>
      </c>
      <c r="C320" s="2" t="s">
        <v>32</v>
      </c>
      <c r="D320" s="2" t="s">
        <v>32</v>
      </c>
      <c r="E320" s="2" t="s">
        <v>32</v>
      </c>
      <c r="F320" s="15">
        <f t="shared" si="4"/>
        <v>1</v>
      </c>
    </row>
    <row r="321">
      <c r="A321" s="11">
        <v>2968.0</v>
      </c>
      <c r="B321" s="12" t="s">
        <v>863</v>
      </c>
      <c r="C321" s="2" t="s">
        <v>32</v>
      </c>
      <c r="D321" s="2" t="s">
        <v>32</v>
      </c>
      <c r="E321" s="2" t="s">
        <v>32</v>
      </c>
      <c r="F321" s="15">
        <f t="shared" si="4"/>
        <v>1</v>
      </c>
    </row>
    <row r="322">
      <c r="A322" s="11">
        <v>3079.0</v>
      </c>
      <c r="B322" s="12" t="s">
        <v>865</v>
      </c>
      <c r="C322" s="2" t="s">
        <v>32</v>
      </c>
      <c r="D322" s="2" t="s">
        <v>32</v>
      </c>
      <c r="E322" s="2" t="s">
        <v>32</v>
      </c>
      <c r="F322" s="15">
        <f t="shared" si="4"/>
        <v>0</v>
      </c>
    </row>
    <row r="323">
      <c r="A323" s="11">
        <v>3112.0</v>
      </c>
      <c r="B323" s="12" t="s">
        <v>867</v>
      </c>
      <c r="C323" s="2" t="s">
        <v>32</v>
      </c>
      <c r="D323" s="2" t="s">
        <v>32</v>
      </c>
      <c r="E323" s="2" t="s">
        <v>32</v>
      </c>
      <c r="F323" s="15">
        <f t="shared" si="4"/>
        <v>1</v>
      </c>
    </row>
    <row r="324">
      <c r="A324" s="11">
        <v>3152.0</v>
      </c>
      <c r="B324" s="12" t="s">
        <v>869</v>
      </c>
      <c r="C324" s="2" t="s">
        <v>32</v>
      </c>
      <c r="D324" s="2" t="s">
        <v>32</v>
      </c>
      <c r="E324" s="2" t="s">
        <v>32</v>
      </c>
      <c r="F324" s="15">
        <f t="shared" si="4"/>
        <v>0</v>
      </c>
    </row>
    <row r="325">
      <c r="A325" s="11">
        <v>3391.0</v>
      </c>
      <c r="B325" s="12" t="s">
        <v>870</v>
      </c>
      <c r="C325" s="2" t="s">
        <v>32</v>
      </c>
      <c r="D325" s="2" t="s">
        <v>32</v>
      </c>
      <c r="E325" s="2" t="s">
        <v>32</v>
      </c>
      <c r="F325" s="15">
        <f t="shared" si="4"/>
        <v>1</v>
      </c>
    </row>
    <row r="326">
      <c r="A326" s="11">
        <v>3463.0</v>
      </c>
      <c r="B326" s="12" t="s">
        <v>871</v>
      </c>
      <c r="C326" s="2" t="s">
        <v>32</v>
      </c>
      <c r="D326" s="2" t="s">
        <v>32</v>
      </c>
      <c r="E326" s="2" t="s">
        <v>32</v>
      </c>
      <c r="F326" s="15">
        <f t="shared" si="4"/>
        <v>0</v>
      </c>
    </row>
    <row r="327">
      <c r="A327" s="11">
        <v>3583.0</v>
      </c>
      <c r="B327" s="12" t="s">
        <v>872</v>
      </c>
      <c r="C327" s="2" t="s">
        <v>41</v>
      </c>
      <c r="D327" s="2" t="s">
        <v>41</v>
      </c>
      <c r="E327" s="2" t="s">
        <v>41</v>
      </c>
      <c r="F327" s="15">
        <f t="shared" si="4"/>
        <v>0</v>
      </c>
    </row>
    <row r="328">
      <c r="A328" s="11">
        <v>3828.0</v>
      </c>
      <c r="B328" s="12" t="s">
        <v>874</v>
      </c>
      <c r="C328" s="2" t="s">
        <v>32</v>
      </c>
      <c r="D328" s="2" t="s">
        <v>32</v>
      </c>
      <c r="E328" s="2" t="s">
        <v>32</v>
      </c>
      <c r="F328" s="15">
        <f t="shared" si="4"/>
        <v>1</v>
      </c>
    </row>
    <row r="329">
      <c r="A329" s="11">
        <v>3899.0</v>
      </c>
      <c r="B329" s="12" t="s">
        <v>875</v>
      </c>
      <c r="C329" s="2" t="s">
        <v>32</v>
      </c>
      <c r="D329" s="2" t="s">
        <v>32</v>
      </c>
      <c r="E329" s="2" t="s">
        <v>32</v>
      </c>
      <c r="F329" s="15">
        <f t="shared" si="4"/>
        <v>1</v>
      </c>
    </row>
    <row r="330">
      <c r="A330" s="11">
        <v>3954.0</v>
      </c>
      <c r="B330" s="12" t="s">
        <v>878</v>
      </c>
      <c r="C330" s="2" t="s">
        <v>32</v>
      </c>
      <c r="D330" s="2" t="s">
        <v>32</v>
      </c>
      <c r="E330" s="2" t="s">
        <v>32</v>
      </c>
      <c r="F330" s="15">
        <f t="shared" si="4"/>
        <v>0</v>
      </c>
    </row>
    <row r="331">
      <c r="A331" s="11">
        <v>4376.0</v>
      </c>
      <c r="B331" s="12" t="s">
        <v>879</v>
      </c>
      <c r="C331" s="2" t="s">
        <v>32</v>
      </c>
      <c r="D331" s="2" t="s">
        <v>32</v>
      </c>
      <c r="E331" s="2" t="s">
        <v>32</v>
      </c>
      <c r="F331" s="15">
        <f t="shared" si="4"/>
        <v>0</v>
      </c>
    </row>
    <row r="332">
      <c r="A332" s="11">
        <v>4838.0</v>
      </c>
      <c r="B332" s="12" t="s">
        <v>880</v>
      </c>
      <c r="C332" s="2" t="s">
        <v>32</v>
      </c>
      <c r="D332" s="2" t="s">
        <v>32</v>
      </c>
      <c r="E332" s="2" t="s">
        <v>32</v>
      </c>
      <c r="F332" s="15">
        <f t="shared" si="4"/>
        <v>0</v>
      </c>
    </row>
    <row r="333">
      <c r="A333" s="11">
        <v>563.0</v>
      </c>
      <c r="B333" s="12" t="s">
        <v>881</v>
      </c>
      <c r="C333" s="2" t="s">
        <v>32</v>
      </c>
      <c r="D333" s="2" t="s">
        <v>32</v>
      </c>
      <c r="E333" s="2" t="s">
        <v>32</v>
      </c>
      <c r="F333" s="2">
        <v>1.0</v>
      </c>
    </row>
    <row r="334">
      <c r="A334" s="11">
        <v>7155.0</v>
      </c>
      <c r="B334" s="12" t="s">
        <v>882</v>
      </c>
      <c r="C334" s="2" t="s">
        <v>32</v>
      </c>
      <c r="D334" s="2" t="s">
        <v>32</v>
      </c>
      <c r="E334" s="2" t="s">
        <v>32</v>
      </c>
      <c r="F334" s="15">
        <f t="shared" ref="F334:F361" si="5">COUNTIF($A$2:$A$133,A334)</f>
        <v>0</v>
      </c>
    </row>
    <row r="335">
      <c r="A335" s="11">
        <v>8009.0</v>
      </c>
      <c r="B335" s="12" t="s">
        <v>883</v>
      </c>
      <c r="C335" s="2" t="s">
        <v>32</v>
      </c>
      <c r="D335" s="2" t="s">
        <v>32</v>
      </c>
      <c r="E335" s="2" t="s">
        <v>32</v>
      </c>
      <c r="F335" s="15">
        <f t="shared" si="5"/>
        <v>0</v>
      </c>
    </row>
    <row r="336">
      <c r="A336" s="11">
        <v>9.0</v>
      </c>
      <c r="B336" s="12" t="s">
        <v>884</v>
      </c>
      <c r="C336" s="2" t="s">
        <v>32</v>
      </c>
      <c r="D336" s="2" t="s">
        <v>32</v>
      </c>
      <c r="E336" s="2" t="s">
        <v>32</v>
      </c>
      <c r="F336" s="15">
        <f t="shared" si="5"/>
        <v>1</v>
      </c>
    </row>
    <row r="337">
      <c r="A337" s="11">
        <v>102.0</v>
      </c>
      <c r="B337" s="12" t="s">
        <v>885</v>
      </c>
      <c r="C337" s="2" t="s">
        <v>41</v>
      </c>
      <c r="D337" s="2" t="s">
        <v>41</v>
      </c>
      <c r="E337" s="2" t="s">
        <v>41</v>
      </c>
      <c r="F337" s="15">
        <f t="shared" si="5"/>
        <v>0</v>
      </c>
    </row>
    <row r="338">
      <c r="A338" s="11">
        <v>1521.0</v>
      </c>
      <c r="B338" s="12" t="s">
        <v>886</v>
      </c>
      <c r="C338" s="2" t="s">
        <v>32</v>
      </c>
      <c r="D338" s="2" t="s">
        <v>32</v>
      </c>
      <c r="E338" s="2" t="s">
        <v>32</v>
      </c>
      <c r="F338" s="15">
        <f t="shared" si="5"/>
        <v>0</v>
      </c>
    </row>
    <row r="339">
      <c r="A339" s="11">
        <v>164.0</v>
      </c>
      <c r="B339" s="12" t="s">
        <v>888</v>
      </c>
      <c r="C339" s="2" t="s">
        <v>32</v>
      </c>
      <c r="D339" s="2" t="s">
        <v>32</v>
      </c>
      <c r="E339" s="2" t="s">
        <v>32</v>
      </c>
      <c r="F339" s="15">
        <f t="shared" si="5"/>
        <v>0</v>
      </c>
    </row>
    <row r="340">
      <c r="A340" s="11">
        <v>1658.0</v>
      </c>
      <c r="B340" s="12" t="s">
        <v>889</v>
      </c>
      <c r="C340" s="2" t="s">
        <v>32</v>
      </c>
      <c r="D340" s="2" t="s">
        <v>32</v>
      </c>
      <c r="E340" s="2" t="s">
        <v>32</v>
      </c>
      <c r="F340" s="15">
        <f t="shared" si="5"/>
        <v>0</v>
      </c>
    </row>
    <row r="341">
      <c r="A341" s="11">
        <v>1723.0</v>
      </c>
      <c r="B341" s="12" t="s">
        <v>890</v>
      </c>
      <c r="C341" s="2" t="s">
        <v>32</v>
      </c>
      <c r="D341" s="2" t="s">
        <v>32</v>
      </c>
      <c r="E341" s="2" t="s">
        <v>32</v>
      </c>
      <c r="F341" s="15">
        <f t="shared" si="5"/>
        <v>1</v>
      </c>
    </row>
    <row r="342">
      <c r="A342" s="11">
        <v>1790.0</v>
      </c>
      <c r="B342" s="12" t="s">
        <v>891</v>
      </c>
      <c r="C342" s="2" t="s">
        <v>32</v>
      </c>
      <c r="D342" s="2" t="s">
        <v>32</v>
      </c>
      <c r="E342" s="2" t="s">
        <v>32</v>
      </c>
      <c r="F342" s="15">
        <f t="shared" si="5"/>
        <v>0</v>
      </c>
    </row>
    <row r="343">
      <c r="A343" s="11">
        <v>181.0</v>
      </c>
      <c r="B343" s="12" t="s">
        <v>892</v>
      </c>
      <c r="C343" s="2" t="s">
        <v>32</v>
      </c>
      <c r="D343" s="2" t="s">
        <v>32</v>
      </c>
      <c r="E343" s="2" t="s">
        <v>32</v>
      </c>
      <c r="F343" s="15">
        <f t="shared" si="5"/>
        <v>0</v>
      </c>
    </row>
    <row r="344">
      <c r="A344" s="11">
        <v>182.0</v>
      </c>
      <c r="B344" s="12" t="s">
        <v>893</v>
      </c>
      <c r="C344" s="2" t="s">
        <v>32</v>
      </c>
      <c r="D344" s="2" t="s">
        <v>32</v>
      </c>
      <c r="E344" s="2" t="s">
        <v>32</v>
      </c>
      <c r="F344" s="15">
        <f t="shared" si="5"/>
        <v>1</v>
      </c>
    </row>
    <row r="345">
      <c r="A345" s="11">
        <v>196.0</v>
      </c>
      <c r="B345" s="12" t="s">
        <v>894</v>
      </c>
      <c r="C345" s="2" t="s">
        <v>41</v>
      </c>
      <c r="D345" s="2" t="s">
        <v>41</v>
      </c>
      <c r="E345" s="2" t="s">
        <v>41</v>
      </c>
      <c r="F345" s="15">
        <f t="shared" si="5"/>
        <v>1</v>
      </c>
    </row>
    <row r="346">
      <c r="A346" s="11">
        <v>2105.0</v>
      </c>
      <c r="B346" s="12" t="s">
        <v>895</v>
      </c>
      <c r="C346" s="2" t="s">
        <v>32</v>
      </c>
      <c r="D346" s="2" t="s">
        <v>32</v>
      </c>
      <c r="E346" s="2" t="s">
        <v>32</v>
      </c>
      <c r="F346" s="15">
        <f t="shared" si="5"/>
        <v>0</v>
      </c>
    </row>
    <row r="347">
      <c r="A347" s="11">
        <v>2150.0</v>
      </c>
      <c r="B347" s="12" t="s">
        <v>896</v>
      </c>
      <c r="C347" s="2" t="s">
        <v>32</v>
      </c>
      <c r="D347" s="2" t="s">
        <v>32</v>
      </c>
      <c r="E347" s="2" t="s">
        <v>32</v>
      </c>
      <c r="F347" s="15">
        <f t="shared" si="5"/>
        <v>0</v>
      </c>
    </row>
    <row r="348">
      <c r="A348" s="11">
        <v>2307.0</v>
      </c>
      <c r="B348" s="12" t="s">
        <v>897</v>
      </c>
      <c r="C348" s="2" t="s">
        <v>32</v>
      </c>
      <c r="D348" s="2" t="s">
        <v>32</v>
      </c>
      <c r="E348" s="2" t="s">
        <v>32</v>
      </c>
      <c r="F348" s="15">
        <f t="shared" si="5"/>
        <v>0</v>
      </c>
    </row>
    <row r="349">
      <c r="A349" s="11">
        <v>258.0</v>
      </c>
      <c r="B349" s="12" t="s">
        <v>898</v>
      </c>
      <c r="C349" s="2" t="s">
        <v>32</v>
      </c>
      <c r="D349" s="2" t="s">
        <v>32</v>
      </c>
      <c r="E349" s="2" t="s">
        <v>32</v>
      </c>
      <c r="F349" s="15">
        <f t="shared" si="5"/>
        <v>0</v>
      </c>
    </row>
    <row r="350">
      <c r="A350" s="11">
        <v>2632.0</v>
      </c>
      <c r="B350" s="12" t="s">
        <v>899</v>
      </c>
      <c r="C350" s="2" t="s">
        <v>32</v>
      </c>
      <c r="D350" s="2" t="s">
        <v>32</v>
      </c>
      <c r="E350" s="2" t="s">
        <v>32</v>
      </c>
      <c r="F350" s="15">
        <f t="shared" si="5"/>
        <v>0</v>
      </c>
    </row>
    <row r="351">
      <c r="A351" s="11">
        <v>2734.0</v>
      </c>
      <c r="B351" s="12" t="s">
        <v>900</v>
      </c>
      <c r="C351" s="2" t="s">
        <v>32</v>
      </c>
      <c r="D351" s="2" t="s">
        <v>32</v>
      </c>
      <c r="E351" s="2" t="s">
        <v>32</v>
      </c>
      <c r="F351" s="15">
        <f t="shared" si="5"/>
        <v>0</v>
      </c>
    </row>
    <row r="352">
      <c r="A352" s="11">
        <v>2910.0</v>
      </c>
      <c r="B352" s="12" t="s">
        <v>901</v>
      </c>
      <c r="C352" s="2" t="s">
        <v>32</v>
      </c>
      <c r="D352" s="2" t="s">
        <v>32</v>
      </c>
      <c r="E352" s="2" t="s">
        <v>32</v>
      </c>
      <c r="F352" s="15">
        <f t="shared" si="5"/>
        <v>1</v>
      </c>
    </row>
    <row r="353">
      <c r="A353" s="11">
        <v>2985.0</v>
      </c>
      <c r="B353" s="12" t="s">
        <v>902</v>
      </c>
      <c r="C353" s="2" t="s">
        <v>32</v>
      </c>
      <c r="D353" s="2" t="s">
        <v>32</v>
      </c>
      <c r="E353" s="2" t="s">
        <v>32</v>
      </c>
      <c r="F353" s="15">
        <f t="shared" si="5"/>
        <v>0</v>
      </c>
    </row>
    <row r="354">
      <c r="A354" s="11">
        <v>3906.0</v>
      </c>
      <c r="B354" s="12" t="s">
        <v>903</v>
      </c>
      <c r="C354" s="2" t="s">
        <v>32</v>
      </c>
      <c r="D354" s="2" t="s">
        <v>32</v>
      </c>
      <c r="E354" s="2" t="s">
        <v>32</v>
      </c>
      <c r="F354" s="15">
        <f t="shared" si="5"/>
        <v>0</v>
      </c>
    </row>
    <row r="355">
      <c r="A355" s="11">
        <v>4647.0</v>
      </c>
      <c r="B355" s="12" t="s">
        <v>904</v>
      </c>
      <c r="C355" s="2" t="s">
        <v>32</v>
      </c>
      <c r="D355" s="2" t="s">
        <v>32</v>
      </c>
      <c r="E355" s="2" t="s">
        <v>32</v>
      </c>
      <c r="F355" s="15">
        <f t="shared" si="5"/>
        <v>0</v>
      </c>
    </row>
    <row r="356">
      <c r="A356" s="11">
        <v>4822.0</v>
      </c>
      <c r="B356" s="12" t="s">
        <v>905</v>
      </c>
      <c r="C356" s="2" t="s">
        <v>32</v>
      </c>
      <c r="D356" s="2" t="s">
        <v>32</v>
      </c>
      <c r="E356" s="2" t="s">
        <v>32</v>
      </c>
      <c r="F356" s="15">
        <f t="shared" si="5"/>
        <v>0</v>
      </c>
    </row>
    <row r="357">
      <c r="A357" s="11">
        <v>502.0</v>
      </c>
      <c r="B357" s="12" t="s">
        <v>906</v>
      </c>
      <c r="C357" s="2" t="s">
        <v>32</v>
      </c>
      <c r="D357" s="2" t="s">
        <v>32</v>
      </c>
      <c r="E357" s="2" t="s">
        <v>32</v>
      </c>
      <c r="F357" s="15">
        <f t="shared" si="5"/>
        <v>0</v>
      </c>
    </row>
    <row r="358">
      <c r="A358" s="11">
        <v>625.0</v>
      </c>
      <c r="B358" s="12" t="s">
        <v>907</v>
      </c>
      <c r="C358" s="2" t="s">
        <v>32</v>
      </c>
      <c r="D358" s="2" t="s">
        <v>32</v>
      </c>
      <c r="E358" s="2" t="s">
        <v>32</v>
      </c>
      <c r="F358" s="15">
        <f t="shared" si="5"/>
        <v>0</v>
      </c>
    </row>
    <row r="359">
      <c r="A359" s="11">
        <v>63.0</v>
      </c>
      <c r="B359" s="12" t="s">
        <v>908</v>
      </c>
      <c r="C359" s="2" t="s">
        <v>41</v>
      </c>
      <c r="D359" s="2" t="s">
        <v>41</v>
      </c>
      <c r="E359" s="2" t="s">
        <v>41</v>
      </c>
      <c r="F359" s="15">
        <f t="shared" si="5"/>
        <v>0</v>
      </c>
    </row>
    <row r="360">
      <c r="A360" s="11">
        <v>6321.0</v>
      </c>
      <c r="B360" s="12" t="s">
        <v>909</v>
      </c>
      <c r="C360" s="2" t="s">
        <v>41</v>
      </c>
      <c r="D360" s="2" t="s">
        <v>41</v>
      </c>
      <c r="E360" s="2" t="s">
        <v>41</v>
      </c>
      <c r="F360" s="15">
        <f t="shared" si="5"/>
        <v>0</v>
      </c>
    </row>
    <row r="361">
      <c r="A361" s="11">
        <v>931.0</v>
      </c>
      <c r="B361" s="12" t="s">
        <v>910</v>
      </c>
      <c r="C361" s="2" t="s">
        <v>32</v>
      </c>
      <c r="D361" s="2" t="s">
        <v>32</v>
      </c>
      <c r="E361" s="2" t="s">
        <v>32</v>
      </c>
      <c r="F361" s="15">
        <f t="shared" si="5"/>
        <v>0</v>
      </c>
    </row>
    <row r="364">
      <c r="A364" s="2" t="s">
        <v>97</v>
      </c>
      <c r="B364" s="2" t="s">
        <v>98</v>
      </c>
      <c r="C364" s="2" t="s">
        <v>6</v>
      </c>
      <c r="D364" s="2" t="s">
        <v>7</v>
      </c>
      <c r="E364" s="2" t="s">
        <v>8</v>
      </c>
    </row>
    <row r="365">
      <c r="A365" s="7" t="s">
        <v>112</v>
      </c>
      <c r="B365" s="114" t="s">
        <v>114</v>
      </c>
      <c r="C365" s="2" t="s">
        <v>32</v>
      </c>
      <c r="D365" s="2" t="s">
        <v>32</v>
      </c>
      <c r="E365" s="2" t="s">
        <v>32</v>
      </c>
      <c r="F365" s="126"/>
      <c r="G365" s="2" t="s">
        <v>934</v>
      </c>
      <c r="H365" s="15">
        <f>19/20</f>
        <v>0.95</v>
      </c>
    </row>
    <row r="366">
      <c r="A366" s="7" t="s">
        <v>118</v>
      </c>
      <c r="B366" s="114" t="s">
        <v>119</v>
      </c>
      <c r="C366" s="2" t="s">
        <v>32</v>
      </c>
      <c r="D366" s="2" t="s">
        <v>32</v>
      </c>
      <c r="E366" s="2" t="s">
        <v>32</v>
      </c>
      <c r="F366" s="126"/>
    </row>
    <row r="367">
      <c r="A367" s="7" t="s">
        <v>123</v>
      </c>
      <c r="B367" s="114" t="s">
        <v>124</v>
      </c>
      <c r="C367" s="2" t="s">
        <v>32</v>
      </c>
      <c r="D367" s="2" t="s">
        <v>32</v>
      </c>
      <c r="E367" s="2" t="s">
        <v>32</v>
      </c>
      <c r="F367" s="126"/>
    </row>
    <row r="368">
      <c r="A368" s="7" t="s">
        <v>128</v>
      </c>
      <c r="B368" s="114" t="s">
        <v>129</v>
      </c>
      <c r="C368" s="2" t="s">
        <v>32</v>
      </c>
      <c r="D368" s="2" t="s">
        <v>32</v>
      </c>
      <c r="E368" s="2" t="s">
        <v>32</v>
      </c>
      <c r="F368" s="126"/>
    </row>
    <row r="369">
      <c r="A369" s="7" t="s">
        <v>134</v>
      </c>
      <c r="B369" s="114" t="s">
        <v>136</v>
      </c>
      <c r="C369" s="2" t="s">
        <v>32</v>
      </c>
      <c r="D369" s="2" t="s">
        <v>32</v>
      </c>
      <c r="E369" s="2" t="s">
        <v>32</v>
      </c>
      <c r="F369" s="126"/>
    </row>
    <row r="370">
      <c r="A370" s="7" t="s">
        <v>139</v>
      </c>
      <c r="B370" s="114" t="s">
        <v>140</v>
      </c>
      <c r="C370" s="2" t="s">
        <v>32</v>
      </c>
      <c r="D370" s="2" t="s">
        <v>32</v>
      </c>
      <c r="E370" s="2" t="s">
        <v>32</v>
      </c>
      <c r="F370" s="126"/>
    </row>
    <row r="371">
      <c r="A371" s="7" t="s">
        <v>144</v>
      </c>
      <c r="B371" s="114" t="s">
        <v>145</v>
      </c>
      <c r="C371" s="2" t="s">
        <v>32</v>
      </c>
      <c r="D371" s="2" t="s">
        <v>32</v>
      </c>
      <c r="E371" s="2" t="s">
        <v>32</v>
      </c>
      <c r="F371" s="126"/>
    </row>
    <row r="372">
      <c r="A372" s="7" t="s">
        <v>148</v>
      </c>
      <c r="B372" s="114" t="s">
        <v>149</v>
      </c>
      <c r="C372" s="2" t="s">
        <v>32</v>
      </c>
      <c r="D372" s="2" t="s">
        <v>32</v>
      </c>
      <c r="E372" s="2" t="s">
        <v>32</v>
      </c>
      <c r="F372" s="126"/>
    </row>
    <row r="373">
      <c r="A373" s="7" t="s">
        <v>154</v>
      </c>
      <c r="B373" s="114" t="s">
        <v>155</v>
      </c>
      <c r="C373" s="2" t="s">
        <v>32</v>
      </c>
      <c r="D373" s="2" t="s">
        <v>32</v>
      </c>
      <c r="E373" s="2" t="s">
        <v>32</v>
      </c>
      <c r="F373" s="126"/>
    </row>
    <row r="374">
      <c r="A374" s="7" t="s">
        <v>161</v>
      </c>
      <c r="B374" s="114" t="s">
        <v>162</v>
      </c>
      <c r="C374" s="2" t="s">
        <v>32</v>
      </c>
      <c r="D374" s="2" t="s">
        <v>41</v>
      </c>
      <c r="E374" s="2" t="s">
        <v>41</v>
      </c>
      <c r="F374" s="127" t="s">
        <v>937</v>
      </c>
    </row>
    <row r="375">
      <c r="A375" s="7" t="s">
        <v>167</v>
      </c>
      <c r="B375" s="114" t="s">
        <v>168</v>
      </c>
      <c r="C375" s="2" t="s">
        <v>32</v>
      </c>
      <c r="D375" s="2" t="s">
        <v>32</v>
      </c>
      <c r="E375" s="2" t="s">
        <v>32</v>
      </c>
      <c r="F375" s="126"/>
    </row>
    <row r="376">
      <c r="A376" s="7" t="s">
        <v>174</v>
      </c>
      <c r="B376" s="114" t="s">
        <v>175</v>
      </c>
      <c r="C376" s="2" t="s">
        <v>32</v>
      </c>
      <c r="D376" s="2" t="s">
        <v>32</v>
      </c>
      <c r="E376" s="2" t="s">
        <v>32</v>
      </c>
      <c r="F376" s="126"/>
    </row>
    <row r="377">
      <c r="A377" s="7" t="s">
        <v>181</v>
      </c>
      <c r="B377" s="114" t="s">
        <v>183</v>
      </c>
      <c r="C377" s="2" t="s">
        <v>32</v>
      </c>
      <c r="D377" s="2" t="s">
        <v>32</v>
      </c>
      <c r="E377" s="2" t="s">
        <v>32</v>
      </c>
      <c r="F377" s="126"/>
    </row>
    <row r="378">
      <c r="A378" s="7" t="s">
        <v>187</v>
      </c>
      <c r="B378" s="114" t="s">
        <v>188</v>
      </c>
      <c r="C378" s="2" t="s">
        <v>32</v>
      </c>
      <c r="D378" s="2" t="s">
        <v>32</v>
      </c>
      <c r="E378" s="2" t="s">
        <v>32</v>
      </c>
      <c r="F378" s="126"/>
    </row>
    <row r="379">
      <c r="A379" s="7" t="s">
        <v>193</v>
      </c>
      <c r="B379" s="114" t="s">
        <v>194</v>
      </c>
      <c r="C379" s="2" t="s">
        <v>32</v>
      </c>
      <c r="D379" s="2" t="s">
        <v>32</v>
      </c>
      <c r="E379" s="2" t="s">
        <v>32</v>
      </c>
      <c r="F379" s="126"/>
    </row>
    <row r="380">
      <c r="A380" s="7" t="s">
        <v>199</v>
      </c>
      <c r="B380" s="114" t="s">
        <v>200</v>
      </c>
      <c r="C380" s="2" t="s">
        <v>32</v>
      </c>
      <c r="D380" s="2" t="s">
        <v>32</v>
      </c>
      <c r="E380" s="2" t="s">
        <v>32</v>
      </c>
      <c r="F380" s="126"/>
    </row>
    <row r="381">
      <c r="A381" s="7" t="s">
        <v>205</v>
      </c>
      <c r="B381" s="114" t="s">
        <v>207</v>
      </c>
      <c r="C381" s="2" t="s">
        <v>32</v>
      </c>
      <c r="D381" s="2" t="s">
        <v>32</v>
      </c>
      <c r="E381" s="2" t="s">
        <v>32</v>
      </c>
      <c r="F381" s="126"/>
    </row>
    <row r="382">
      <c r="A382" s="7" t="s">
        <v>209</v>
      </c>
      <c r="B382" s="114" t="s">
        <v>210</v>
      </c>
      <c r="C382" s="2" t="s">
        <v>32</v>
      </c>
      <c r="D382" s="2" t="s">
        <v>32</v>
      </c>
      <c r="E382" s="2" t="s">
        <v>32</v>
      </c>
      <c r="F382" s="126"/>
    </row>
    <row r="383">
      <c r="A383" s="7" t="s">
        <v>225</v>
      </c>
      <c r="B383" s="114" t="s">
        <v>227</v>
      </c>
      <c r="C383" s="2" t="s">
        <v>32</v>
      </c>
      <c r="D383" s="2" t="s">
        <v>32</v>
      </c>
      <c r="E383" s="2" t="s">
        <v>32</v>
      </c>
      <c r="F383" s="126"/>
    </row>
    <row r="384">
      <c r="A384" s="7" t="s">
        <v>236</v>
      </c>
      <c r="B384" s="114" t="s">
        <v>237</v>
      </c>
      <c r="C384" s="2" t="s">
        <v>32</v>
      </c>
      <c r="D384" s="2" t="s">
        <v>32</v>
      </c>
      <c r="E384" s="2" t="s">
        <v>32</v>
      </c>
      <c r="F384" s="126"/>
    </row>
  </sheetData>
  <dataValidations>
    <dataValidation type="list" allowBlank="1" showErrorMessage="1" sqref="C2:E133 L2:N133 C137:E361 C365:E384">
      <formula1>"Y,N"</formula1>
    </dataValidation>
  </dataValidations>
  <hyperlinks>
    <hyperlink r:id="rId1" ref="B2"/>
    <hyperlink r:id="rId2" ref="K2"/>
    <hyperlink r:id="rId3" ref="B3"/>
    <hyperlink r:id="rId4" ref="K3"/>
    <hyperlink r:id="rId5" ref="B4"/>
    <hyperlink r:id="rId6" ref="K4"/>
    <hyperlink r:id="rId7" ref="B5"/>
    <hyperlink r:id="rId8" ref="K5"/>
    <hyperlink r:id="rId9" ref="B6"/>
    <hyperlink r:id="rId10" ref="K6"/>
    <hyperlink r:id="rId11" ref="B7"/>
    <hyperlink r:id="rId12" ref="K7"/>
    <hyperlink r:id="rId13" ref="B8"/>
    <hyperlink r:id="rId14" ref="K8"/>
    <hyperlink r:id="rId15" ref="B9"/>
    <hyperlink r:id="rId16" ref="K9"/>
    <hyperlink r:id="rId17" ref="B10"/>
    <hyperlink r:id="rId18" ref="K10"/>
    <hyperlink r:id="rId19" ref="B11"/>
    <hyperlink r:id="rId20" ref="K11"/>
    <hyperlink r:id="rId21" ref="B12"/>
    <hyperlink r:id="rId22" ref="K12"/>
    <hyperlink r:id="rId23" ref="B13"/>
    <hyperlink r:id="rId24" ref="K13"/>
    <hyperlink r:id="rId25" ref="B14"/>
    <hyperlink r:id="rId26" ref="K14"/>
    <hyperlink r:id="rId27" ref="B15"/>
    <hyperlink r:id="rId28" ref="K15"/>
    <hyperlink r:id="rId29" ref="B16"/>
    <hyperlink r:id="rId30" ref="K16"/>
    <hyperlink r:id="rId31" ref="B17"/>
    <hyperlink r:id="rId32" ref="K17"/>
    <hyperlink r:id="rId33" ref="B18"/>
    <hyperlink r:id="rId34" ref="K18"/>
    <hyperlink r:id="rId35" ref="B19"/>
    <hyperlink r:id="rId36" ref="K19"/>
    <hyperlink r:id="rId37" ref="B20"/>
    <hyperlink r:id="rId38" ref="K20"/>
    <hyperlink r:id="rId39" ref="B21"/>
    <hyperlink r:id="rId40" ref="K21"/>
    <hyperlink r:id="rId41" ref="B22"/>
    <hyperlink r:id="rId42" ref="K22"/>
    <hyperlink r:id="rId43" ref="B23"/>
    <hyperlink r:id="rId44" ref="K23"/>
    <hyperlink r:id="rId45" ref="B24"/>
    <hyperlink r:id="rId46" ref="K24"/>
    <hyperlink r:id="rId47" ref="B25"/>
    <hyperlink r:id="rId48" ref="K25"/>
    <hyperlink r:id="rId49" ref="B26"/>
    <hyperlink r:id="rId50" ref="K26"/>
    <hyperlink r:id="rId51" ref="B27"/>
    <hyperlink r:id="rId52" ref="K27"/>
    <hyperlink r:id="rId53" ref="B28"/>
    <hyperlink r:id="rId54" ref="K28"/>
    <hyperlink r:id="rId55" ref="B29"/>
    <hyperlink r:id="rId56" ref="K29"/>
    <hyperlink r:id="rId57" ref="B30"/>
    <hyperlink r:id="rId58" ref="K30"/>
    <hyperlink r:id="rId59" ref="B31"/>
    <hyperlink r:id="rId60" ref="K31"/>
    <hyperlink r:id="rId61" ref="B32"/>
    <hyperlink r:id="rId62" ref="K32"/>
    <hyperlink r:id="rId63" ref="B33"/>
    <hyperlink r:id="rId64" ref="K33"/>
    <hyperlink r:id="rId65" ref="B34"/>
    <hyperlink r:id="rId66" ref="K34"/>
    <hyperlink r:id="rId67" ref="B35"/>
    <hyperlink r:id="rId68" ref="K35"/>
    <hyperlink r:id="rId69" ref="B36"/>
    <hyperlink r:id="rId70" ref="K36"/>
    <hyperlink r:id="rId71" ref="B37"/>
    <hyperlink r:id="rId72" ref="K37"/>
    <hyperlink r:id="rId73" ref="B38"/>
    <hyperlink r:id="rId74" ref="K38"/>
    <hyperlink r:id="rId75" ref="B39"/>
    <hyperlink r:id="rId76" ref="K39"/>
    <hyperlink r:id="rId77" ref="B40"/>
    <hyperlink r:id="rId78" ref="K40"/>
    <hyperlink r:id="rId79" ref="B41"/>
    <hyperlink r:id="rId80" ref="K41"/>
    <hyperlink r:id="rId81" ref="B42"/>
    <hyperlink r:id="rId82" ref="K42"/>
    <hyperlink r:id="rId83" ref="B43"/>
    <hyperlink r:id="rId84" ref="K43"/>
    <hyperlink r:id="rId85" ref="B44"/>
    <hyperlink r:id="rId86" ref="K44"/>
    <hyperlink r:id="rId87" ref="B45"/>
    <hyperlink r:id="rId88" ref="K45"/>
    <hyperlink r:id="rId89" ref="B46"/>
    <hyperlink r:id="rId90" ref="K46"/>
    <hyperlink r:id="rId91" ref="B47"/>
    <hyperlink r:id="rId92" ref="K47"/>
    <hyperlink r:id="rId93" ref="B48"/>
    <hyperlink r:id="rId94" ref="K48"/>
    <hyperlink r:id="rId95" ref="B49"/>
    <hyperlink r:id="rId96" ref="K49"/>
    <hyperlink r:id="rId97" ref="B50"/>
    <hyperlink r:id="rId98" ref="K50"/>
    <hyperlink r:id="rId99" ref="B51"/>
    <hyperlink r:id="rId100" ref="K51"/>
    <hyperlink r:id="rId101" ref="B52"/>
    <hyperlink r:id="rId102" ref="K52"/>
    <hyperlink r:id="rId103" ref="B53"/>
    <hyperlink r:id="rId104" ref="K53"/>
    <hyperlink r:id="rId105" ref="B54"/>
    <hyperlink r:id="rId106" ref="K54"/>
    <hyperlink r:id="rId107" ref="B55"/>
    <hyperlink r:id="rId108" ref="K55"/>
    <hyperlink r:id="rId109" ref="B56"/>
    <hyperlink r:id="rId110" ref="K56"/>
    <hyperlink r:id="rId111" ref="B57"/>
    <hyperlink r:id="rId112" ref="K57"/>
    <hyperlink r:id="rId113" ref="B58"/>
    <hyperlink r:id="rId114" ref="K58"/>
    <hyperlink r:id="rId115" ref="B59"/>
    <hyperlink r:id="rId116" ref="K59"/>
    <hyperlink r:id="rId117" ref="B60"/>
    <hyperlink r:id="rId118" ref="K60"/>
    <hyperlink r:id="rId119" ref="B61"/>
    <hyperlink r:id="rId120" ref="K61"/>
    <hyperlink r:id="rId121" ref="B62"/>
    <hyperlink r:id="rId122" ref="K62"/>
    <hyperlink r:id="rId123" ref="B63"/>
    <hyperlink r:id="rId124" ref="K63"/>
    <hyperlink r:id="rId125" ref="B64"/>
    <hyperlink r:id="rId126" ref="K64"/>
    <hyperlink r:id="rId127" ref="B65"/>
    <hyperlink r:id="rId128" ref="K65"/>
    <hyperlink r:id="rId129" ref="B66"/>
    <hyperlink r:id="rId130" ref="K66"/>
    <hyperlink r:id="rId131" ref="B67"/>
    <hyperlink r:id="rId132" ref="K67"/>
    <hyperlink r:id="rId133" ref="B68"/>
    <hyperlink r:id="rId134" ref="K68"/>
    <hyperlink r:id="rId135" ref="B69"/>
    <hyperlink r:id="rId136" ref="K69"/>
    <hyperlink r:id="rId137" ref="B70"/>
    <hyperlink r:id="rId138" ref="K70"/>
    <hyperlink r:id="rId139" ref="B71"/>
    <hyperlink r:id="rId140" ref="K71"/>
    <hyperlink r:id="rId141" ref="B72"/>
    <hyperlink r:id="rId142" ref="K72"/>
    <hyperlink r:id="rId143" ref="B73"/>
    <hyperlink r:id="rId144" ref="K73"/>
    <hyperlink r:id="rId145" ref="B74"/>
    <hyperlink r:id="rId146" ref="K74"/>
    <hyperlink r:id="rId147" ref="B75"/>
    <hyperlink r:id="rId148" ref="K75"/>
    <hyperlink r:id="rId149" ref="B76"/>
    <hyperlink r:id="rId150" ref="K76"/>
    <hyperlink r:id="rId151" ref="B77"/>
    <hyperlink r:id="rId152" ref="K77"/>
    <hyperlink r:id="rId153" ref="B78"/>
    <hyperlink r:id="rId154" ref="K78"/>
    <hyperlink r:id="rId155" ref="B79"/>
    <hyperlink r:id="rId156" ref="K79"/>
    <hyperlink r:id="rId157" ref="B80"/>
    <hyperlink r:id="rId158" ref="K80"/>
    <hyperlink r:id="rId159" ref="B81"/>
    <hyperlink r:id="rId160" ref="K81"/>
    <hyperlink r:id="rId161" ref="B82"/>
    <hyperlink r:id="rId162" ref="K82"/>
    <hyperlink r:id="rId163" ref="B83"/>
    <hyperlink r:id="rId164" ref="K83"/>
    <hyperlink r:id="rId165" ref="B84"/>
    <hyperlink r:id="rId166" ref="K84"/>
    <hyperlink r:id="rId167" ref="B85"/>
    <hyperlink r:id="rId168" ref="K85"/>
    <hyperlink r:id="rId169" ref="B86"/>
    <hyperlink r:id="rId170" ref="K86"/>
    <hyperlink r:id="rId171" ref="B87"/>
    <hyperlink r:id="rId172" ref="K87"/>
    <hyperlink r:id="rId173" ref="B88"/>
    <hyperlink r:id="rId174" ref="K88"/>
    <hyperlink r:id="rId175" ref="B89"/>
    <hyperlink r:id="rId176" ref="K89"/>
    <hyperlink r:id="rId177" ref="B90"/>
    <hyperlink r:id="rId178" ref="K90"/>
    <hyperlink r:id="rId179" ref="B91"/>
    <hyperlink r:id="rId180" ref="K91"/>
    <hyperlink r:id="rId181" ref="B92"/>
    <hyperlink r:id="rId182" ref="K92"/>
    <hyperlink r:id="rId183" ref="B93"/>
    <hyperlink r:id="rId184" ref="K93"/>
    <hyperlink r:id="rId185" ref="B94"/>
    <hyperlink r:id="rId186" ref="K94"/>
    <hyperlink r:id="rId187" ref="B95"/>
    <hyperlink r:id="rId188" ref="K95"/>
    <hyperlink r:id="rId189" ref="B96"/>
    <hyperlink r:id="rId190" ref="K96"/>
    <hyperlink r:id="rId191" ref="B97"/>
    <hyperlink r:id="rId192" ref="K97"/>
    <hyperlink r:id="rId193" ref="B98"/>
    <hyperlink r:id="rId194" ref="K98"/>
    <hyperlink r:id="rId195" ref="B99"/>
    <hyperlink r:id="rId196" ref="K99"/>
    <hyperlink r:id="rId197" ref="B100"/>
    <hyperlink r:id="rId198" ref="K100"/>
    <hyperlink r:id="rId199" ref="B101"/>
    <hyperlink r:id="rId200" ref="K101"/>
    <hyperlink r:id="rId201" ref="B102"/>
    <hyperlink r:id="rId202" ref="K102"/>
    <hyperlink r:id="rId203" ref="B103"/>
    <hyperlink r:id="rId204" ref="K103"/>
    <hyperlink r:id="rId205" ref="B104"/>
    <hyperlink r:id="rId206" ref="K104"/>
    <hyperlink r:id="rId207" ref="B105"/>
    <hyperlink r:id="rId208" ref="K105"/>
    <hyperlink r:id="rId209" ref="B106"/>
    <hyperlink r:id="rId210" ref="K106"/>
    <hyperlink r:id="rId211" ref="B107"/>
    <hyperlink r:id="rId212" ref="K107"/>
    <hyperlink r:id="rId213" ref="B108"/>
    <hyperlink r:id="rId214" ref="K108"/>
    <hyperlink r:id="rId215" ref="B109"/>
    <hyperlink r:id="rId216" ref="K109"/>
    <hyperlink r:id="rId217" ref="B110"/>
    <hyperlink r:id="rId218" ref="K110"/>
    <hyperlink r:id="rId219" ref="B111"/>
    <hyperlink r:id="rId220" ref="K111"/>
    <hyperlink r:id="rId221" ref="B112"/>
    <hyperlink r:id="rId222" ref="K112"/>
    <hyperlink r:id="rId223" ref="B113"/>
    <hyperlink r:id="rId224" ref="K113"/>
    <hyperlink r:id="rId225" ref="B114"/>
    <hyperlink r:id="rId226" ref="K114"/>
    <hyperlink r:id="rId227" ref="B115"/>
    <hyperlink r:id="rId228" ref="K115"/>
    <hyperlink r:id="rId229" ref="B116"/>
    <hyperlink r:id="rId230" ref="K116"/>
    <hyperlink r:id="rId231" ref="B117"/>
    <hyperlink r:id="rId232" ref="K117"/>
    <hyperlink r:id="rId233" ref="B118"/>
    <hyperlink r:id="rId234" ref="K118"/>
    <hyperlink r:id="rId235" ref="B119"/>
    <hyperlink r:id="rId236" ref="K119"/>
    <hyperlink r:id="rId237" ref="B120"/>
    <hyperlink r:id="rId238" ref="K120"/>
    <hyperlink r:id="rId239" ref="B121"/>
    <hyperlink r:id="rId240" ref="K121"/>
    <hyperlink r:id="rId241" ref="B122"/>
    <hyperlink r:id="rId242" ref="K122"/>
    <hyperlink r:id="rId243" ref="B123"/>
    <hyperlink r:id="rId244" ref="K123"/>
    <hyperlink r:id="rId245" ref="B124"/>
    <hyperlink r:id="rId246" ref="K124"/>
    <hyperlink r:id="rId247" ref="B125"/>
    <hyperlink r:id="rId248" ref="K125"/>
    <hyperlink r:id="rId249" ref="B126"/>
    <hyperlink r:id="rId250" ref="K126"/>
    <hyperlink r:id="rId251" ref="B127"/>
    <hyperlink r:id="rId252" ref="K127"/>
    <hyperlink r:id="rId253" ref="B128"/>
    <hyperlink r:id="rId254" ref="K128"/>
    <hyperlink r:id="rId255" ref="B129"/>
    <hyperlink r:id="rId256" ref="K129"/>
    <hyperlink r:id="rId257" ref="B130"/>
    <hyperlink r:id="rId258" ref="K130"/>
    <hyperlink r:id="rId259" ref="B131"/>
    <hyperlink r:id="rId260" ref="K131"/>
    <hyperlink r:id="rId261" ref="B132"/>
    <hyperlink r:id="rId262" ref="K132"/>
    <hyperlink r:id="rId263" ref="B133"/>
    <hyperlink r:id="rId264" ref="K133"/>
    <hyperlink r:id="rId265" ref="B137"/>
    <hyperlink r:id="rId266" ref="B138"/>
    <hyperlink r:id="rId267" ref="B139"/>
    <hyperlink r:id="rId268" ref="B140"/>
    <hyperlink r:id="rId269" ref="B141"/>
    <hyperlink r:id="rId270" ref="B142"/>
    <hyperlink r:id="rId271" ref="B143"/>
    <hyperlink r:id="rId272" ref="B144"/>
    <hyperlink r:id="rId273" ref="B145"/>
    <hyperlink r:id="rId274" ref="B146"/>
    <hyperlink r:id="rId275" ref="B147"/>
    <hyperlink r:id="rId276" ref="B148"/>
    <hyperlink r:id="rId277" ref="B149"/>
    <hyperlink r:id="rId278" ref="B150"/>
    <hyperlink r:id="rId279" ref="B151"/>
    <hyperlink r:id="rId280" ref="B152"/>
    <hyperlink r:id="rId281" ref="B153"/>
    <hyperlink r:id="rId282" ref="B154"/>
    <hyperlink r:id="rId283" ref="B155"/>
    <hyperlink r:id="rId284" ref="B156"/>
    <hyperlink r:id="rId285" ref="B157"/>
    <hyperlink r:id="rId286" ref="B158"/>
    <hyperlink r:id="rId287" ref="B159"/>
    <hyperlink r:id="rId288" ref="B160"/>
    <hyperlink r:id="rId289" ref="B161"/>
    <hyperlink r:id="rId290" ref="B162"/>
    <hyperlink r:id="rId291" ref="B163"/>
    <hyperlink r:id="rId292" ref="B164"/>
    <hyperlink r:id="rId293" ref="B165"/>
    <hyperlink r:id="rId294" ref="B166"/>
    <hyperlink r:id="rId295" ref="B167"/>
    <hyperlink r:id="rId296" ref="B168"/>
    <hyperlink r:id="rId297" ref="B169"/>
    <hyperlink r:id="rId298" ref="B170"/>
    <hyperlink r:id="rId299" ref="B171"/>
    <hyperlink r:id="rId300" ref="B172"/>
    <hyperlink r:id="rId301" ref="B173"/>
    <hyperlink r:id="rId302" ref="B174"/>
    <hyperlink r:id="rId303" ref="B175"/>
    <hyperlink r:id="rId304" ref="B176"/>
    <hyperlink r:id="rId305" ref="B177"/>
    <hyperlink r:id="rId306" ref="B178"/>
    <hyperlink r:id="rId307" ref="B179"/>
    <hyperlink r:id="rId308" ref="B180"/>
    <hyperlink r:id="rId309" ref="B181"/>
    <hyperlink r:id="rId310" ref="B182"/>
    <hyperlink r:id="rId311" ref="B183"/>
    <hyperlink r:id="rId312" ref="B184"/>
    <hyperlink r:id="rId313" ref="B185"/>
    <hyperlink r:id="rId314" ref="B186"/>
    <hyperlink r:id="rId315" ref="B187"/>
    <hyperlink r:id="rId316" ref="B188"/>
    <hyperlink r:id="rId317" ref="B189"/>
    <hyperlink r:id="rId318" ref="B190"/>
    <hyperlink r:id="rId319" ref="B191"/>
    <hyperlink r:id="rId320" ref="B192"/>
    <hyperlink r:id="rId321" ref="B193"/>
    <hyperlink r:id="rId322" ref="B194"/>
    <hyperlink r:id="rId323" ref="B195"/>
    <hyperlink r:id="rId324" ref="B196"/>
    <hyperlink r:id="rId325" ref="B197"/>
    <hyperlink r:id="rId326" ref="B198"/>
    <hyperlink r:id="rId327" ref="B199"/>
    <hyperlink r:id="rId328" ref="B200"/>
    <hyperlink r:id="rId329" ref="B201"/>
    <hyperlink r:id="rId330" ref="B202"/>
    <hyperlink r:id="rId331" ref="B203"/>
    <hyperlink r:id="rId332" ref="B204"/>
    <hyperlink r:id="rId333" ref="B205"/>
    <hyperlink r:id="rId334" ref="B206"/>
    <hyperlink r:id="rId335" ref="B207"/>
    <hyperlink r:id="rId336" ref="B208"/>
    <hyperlink r:id="rId337" ref="B209"/>
    <hyperlink r:id="rId338" ref="B210"/>
    <hyperlink r:id="rId339" ref="B211"/>
    <hyperlink r:id="rId340" ref="B212"/>
    <hyperlink r:id="rId341" ref="B213"/>
    <hyperlink r:id="rId342" ref="B214"/>
    <hyperlink r:id="rId343" ref="B215"/>
    <hyperlink r:id="rId344" ref="B216"/>
    <hyperlink r:id="rId345" ref="B217"/>
    <hyperlink r:id="rId346" ref="B218"/>
    <hyperlink r:id="rId347" ref="B219"/>
    <hyperlink r:id="rId348" ref="B220"/>
    <hyperlink r:id="rId349" ref="B221"/>
    <hyperlink r:id="rId350" ref="B222"/>
    <hyperlink r:id="rId351" ref="B223"/>
    <hyperlink r:id="rId352" ref="B224"/>
    <hyperlink r:id="rId353" ref="B225"/>
    <hyperlink r:id="rId354" ref="B226"/>
    <hyperlink r:id="rId355" ref="B227"/>
    <hyperlink r:id="rId356" ref="B228"/>
    <hyperlink r:id="rId357" ref="B229"/>
    <hyperlink r:id="rId358" ref="B230"/>
    <hyperlink r:id="rId359" ref="B231"/>
    <hyperlink r:id="rId360" ref="B232"/>
    <hyperlink r:id="rId361" ref="B233"/>
    <hyperlink r:id="rId362" ref="B234"/>
    <hyperlink r:id="rId363" ref="B235"/>
    <hyperlink r:id="rId364" ref="B236"/>
    <hyperlink r:id="rId365" ref="B237"/>
    <hyperlink r:id="rId366" ref="B238"/>
    <hyperlink r:id="rId367" ref="B239"/>
    <hyperlink r:id="rId368" ref="B240"/>
    <hyperlink r:id="rId369" ref="B241"/>
    <hyperlink r:id="rId370" ref="B242"/>
    <hyperlink r:id="rId371" ref="B243"/>
    <hyperlink r:id="rId372" ref="B244"/>
    <hyperlink r:id="rId373" ref="B245"/>
    <hyperlink r:id="rId374" ref="B246"/>
    <hyperlink r:id="rId375" ref="B247"/>
    <hyperlink r:id="rId376" ref="B248"/>
    <hyperlink r:id="rId377" ref="B249"/>
    <hyperlink r:id="rId378" ref="B250"/>
    <hyperlink r:id="rId379" ref="B251"/>
    <hyperlink r:id="rId380" ref="B252"/>
    <hyperlink r:id="rId381" ref="B253"/>
    <hyperlink r:id="rId382" ref="B254"/>
    <hyperlink r:id="rId383" ref="B255"/>
    <hyperlink r:id="rId384" ref="B256"/>
    <hyperlink r:id="rId385" ref="B257"/>
    <hyperlink r:id="rId386" ref="B258"/>
    <hyperlink r:id="rId387" ref="B259"/>
    <hyperlink r:id="rId388" ref="B260"/>
    <hyperlink r:id="rId389" ref="B261"/>
    <hyperlink r:id="rId390" ref="B262"/>
    <hyperlink r:id="rId391" ref="B263"/>
    <hyperlink r:id="rId392" ref="B264"/>
    <hyperlink r:id="rId393" ref="B265"/>
    <hyperlink r:id="rId394" ref="B266"/>
    <hyperlink r:id="rId395" ref="B267"/>
    <hyperlink r:id="rId396" ref="B268"/>
    <hyperlink r:id="rId397" ref="B269"/>
    <hyperlink r:id="rId398" ref="B270"/>
    <hyperlink r:id="rId399" ref="B271"/>
    <hyperlink r:id="rId400" ref="B272"/>
    <hyperlink r:id="rId401" ref="B273"/>
    <hyperlink r:id="rId402" ref="B274"/>
    <hyperlink r:id="rId403" ref="B275"/>
    <hyperlink r:id="rId404" ref="B276"/>
    <hyperlink r:id="rId405" ref="B277"/>
    <hyperlink r:id="rId406" ref="B278"/>
    <hyperlink r:id="rId407" ref="B279"/>
    <hyperlink r:id="rId408" ref="B280"/>
    <hyperlink r:id="rId409" ref="B281"/>
    <hyperlink r:id="rId410" ref="B282"/>
    <hyperlink r:id="rId411" ref="B283"/>
    <hyperlink r:id="rId412" ref="B284"/>
    <hyperlink r:id="rId413" ref="B285"/>
    <hyperlink r:id="rId414" ref="B286"/>
    <hyperlink r:id="rId415" ref="B287"/>
    <hyperlink r:id="rId416" ref="B288"/>
    <hyperlink r:id="rId417" ref="B289"/>
    <hyperlink r:id="rId418" ref="B290"/>
    <hyperlink r:id="rId419" ref="B291"/>
    <hyperlink r:id="rId420" ref="B292"/>
    <hyperlink r:id="rId421" ref="B293"/>
    <hyperlink r:id="rId422" ref="B294"/>
    <hyperlink r:id="rId423" ref="B295"/>
    <hyperlink r:id="rId424" ref="B296"/>
    <hyperlink r:id="rId425" ref="B297"/>
    <hyperlink r:id="rId426" ref="B298"/>
    <hyperlink r:id="rId427" ref="B299"/>
    <hyperlink r:id="rId428" ref="B300"/>
    <hyperlink r:id="rId429" ref="B301"/>
    <hyperlink r:id="rId430" ref="B302"/>
    <hyperlink r:id="rId431" ref="B303"/>
    <hyperlink r:id="rId432" ref="B304"/>
    <hyperlink r:id="rId433" ref="B305"/>
    <hyperlink r:id="rId434" ref="B306"/>
    <hyperlink r:id="rId435" ref="B307"/>
    <hyperlink r:id="rId436" ref="B308"/>
    <hyperlink r:id="rId437" ref="B309"/>
    <hyperlink r:id="rId438" ref="B310"/>
    <hyperlink r:id="rId439" ref="B311"/>
    <hyperlink r:id="rId440" ref="B312"/>
    <hyperlink r:id="rId441" ref="B313"/>
    <hyperlink r:id="rId442" ref="B314"/>
    <hyperlink r:id="rId443" ref="B315"/>
    <hyperlink r:id="rId444" ref="B316"/>
    <hyperlink r:id="rId445" ref="B317"/>
    <hyperlink r:id="rId446" ref="B318"/>
    <hyperlink r:id="rId447" ref="B319"/>
    <hyperlink r:id="rId448" ref="B320"/>
    <hyperlink r:id="rId449" ref="B321"/>
    <hyperlink r:id="rId450" ref="B322"/>
    <hyperlink r:id="rId451" ref="B323"/>
    <hyperlink r:id="rId452" ref="B324"/>
    <hyperlink r:id="rId453" ref="B325"/>
    <hyperlink r:id="rId454" ref="B326"/>
    <hyperlink r:id="rId455" ref="B327"/>
    <hyperlink r:id="rId456" ref="B328"/>
    <hyperlink r:id="rId457" ref="B329"/>
    <hyperlink r:id="rId458" ref="B330"/>
    <hyperlink r:id="rId459" ref="B331"/>
    <hyperlink r:id="rId460" ref="B332"/>
    <hyperlink r:id="rId461" ref="B333"/>
    <hyperlink r:id="rId462" ref="B334"/>
    <hyperlink r:id="rId463" ref="B335"/>
    <hyperlink r:id="rId464" ref="B336"/>
    <hyperlink r:id="rId465" ref="B337"/>
    <hyperlink r:id="rId466" ref="B338"/>
    <hyperlink r:id="rId467" ref="B339"/>
    <hyperlink r:id="rId468" ref="B340"/>
    <hyperlink r:id="rId469" ref="B341"/>
    <hyperlink r:id="rId470" ref="B342"/>
    <hyperlink r:id="rId471" ref="B343"/>
    <hyperlink r:id="rId472" ref="B344"/>
    <hyperlink r:id="rId473" ref="B345"/>
    <hyperlink r:id="rId474" ref="B346"/>
    <hyperlink r:id="rId475" ref="B347"/>
    <hyperlink r:id="rId476" ref="B348"/>
    <hyperlink r:id="rId477" ref="B349"/>
    <hyperlink r:id="rId478" ref="B350"/>
    <hyperlink r:id="rId479" ref="B351"/>
    <hyperlink r:id="rId480" ref="B352"/>
    <hyperlink r:id="rId481" ref="B353"/>
    <hyperlink r:id="rId482" ref="B354"/>
    <hyperlink r:id="rId483" ref="B355"/>
    <hyperlink r:id="rId484" ref="B356"/>
    <hyperlink r:id="rId485" ref="B357"/>
    <hyperlink r:id="rId486" ref="B358"/>
    <hyperlink r:id="rId487" ref="B359"/>
    <hyperlink r:id="rId488" ref="B360"/>
    <hyperlink r:id="rId489" ref="B361"/>
    <hyperlink r:id="rId490" ref="B365"/>
    <hyperlink r:id="rId491" ref="B366"/>
    <hyperlink r:id="rId492" ref="B367"/>
    <hyperlink r:id="rId493" ref="B368"/>
    <hyperlink r:id="rId494" ref="B369"/>
    <hyperlink r:id="rId495" ref="B370"/>
    <hyperlink r:id="rId496" ref="B371"/>
    <hyperlink r:id="rId497" ref="B372"/>
    <hyperlink r:id="rId498" ref="B373"/>
    <hyperlink r:id="rId499" ref="B374"/>
    <hyperlink r:id="rId500" ref="B375"/>
    <hyperlink r:id="rId501" ref="B376"/>
    <hyperlink r:id="rId502" ref="B377"/>
    <hyperlink r:id="rId503" ref="B378"/>
    <hyperlink r:id="rId504" ref="B379"/>
    <hyperlink r:id="rId505" ref="B380"/>
    <hyperlink r:id="rId506" ref="B381"/>
    <hyperlink r:id="rId507" ref="B382"/>
    <hyperlink r:id="rId508" ref="B383"/>
    <hyperlink r:id="rId509" ref="B384"/>
  </hyperlinks>
  <drawing r:id="rId510"/>
  <tableParts count="1">
    <tablePart r:id="rId5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4</v>
      </c>
      <c r="B1" s="2" t="s">
        <v>5</v>
      </c>
      <c r="C1" s="2" t="s">
        <v>6</v>
      </c>
      <c r="D1" s="2" t="s">
        <v>7</v>
      </c>
    </row>
    <row r="2">
      <c r="A2" s="2">
        <v>3828.0</v>
      </c>
      <c r="B2" s="8" t="s">
        <v>10</v>
      </c>
      <c r="C2" s="2" t="s">
        <v>32</v>
      </c>
      <c r="D2" s="2" t="s">
        <v>32</v>
      </c>
    </row>
    <row r="3">
      <c r="A3" s="2">
        <v>1297.0</v>
      </c>
      <c r="B3" s="8" t="s">
        <v>33</v>
      </c>
      <c r="C3" s="2" t="s">
        <v>32</v>
      </c>
      <c r="D3" s="2" t="s">
        <v>32</v>
      </c>
    </row>
    <row r="4">
      <c r="A4" s="2">
        <v>1112.0</v>
      </c>
      <c r="B4" s="9" t="s">
        <v>35</v>
      </c>
      <c r="C4" s="2" t="s">
        <v>32</v>
      </c>
      <c r="D4" s="2" t="s">
        <v>32</v>
      </c>
    </row>
    <row r="5">
      <c r="A5" s="2">
        <v>71.0</v>
      </c>
      <c r="B5" s="9" t="s">
        <v>37</v>
      </c>
      <c r="C5" s="2" t="s">
        <v>32</v>
      </c>
      <c r="D5" s="2" t="s">
        <v>41</v>
      </c>
    </row>
    <row r="6">
      <c r="A6" s="2">
        <v>1765.0</v>
      </c>
      <c r="B6" s="9" t="s">
        <v>43</v>
      </c>
      <c r="C6" s="2" t="s">
        <v>32</v>
      </c>
      <c r="D6" s="2" t="s">
        <v>32</v>
      </c>
    </row>
    <row r="7">
      <c r="A7" s="2">
        <v>1714.0</v>
      </c>
      <c r="B7" s="8" t="s">
        <v>46</v>
      </c>
      <c r="C7" s="2" t="s">
        <v>32</v>
      </c>
      <c r="D7" s="2" t="s">
        <v>32</v>
      </c>
    </row>
    <row r="8">
      <c r="A8" s="2">
        <v>1702.0</v>
      </c>
      <c r="B8" s="8" t="s">
        <v>49</v>
      </c>
      <c r="C8" s="2" t="s">
        <v>32</v>
      </c>
      <c r="D8" s="2" t="s">
        <v>32</v>
      </c>
    </row>
    <row r="9">
      <c r="A9" s="2">
        <v>1439.0</v>
      </c>
      <c r="B9" s="9" t="s">
        <v>51</v>
      </c>
      <c r="C9" s="2" t="s">
        <v>32</v>
      </c>
      <c r="D9" s="2" t="s">
        <v>32</v>
      </c>
    </row>
    <row r="10">
      <c r="A10" s="2">
        <v>70.0</v>
      </c>
      <c r="B10" s="9" t="s">
        <v>55</v>
      </c>
      <c r="C10" s="2" t="s">
        <v>32</v>
      </c>
      <c r="D10" s="2" t="s">
        <v>41</v>
      </c>
    </row>
    <row r="11">
      <c r="A11" s="2">
        <v>1280.0</v>
      </c>
      <c r="B11" s="9" t="s">
        <v>56</v>
      </c>
      <c r="C11" s="2" t="s">
        <v>32</v>
      </c>
      <c r="D11" s="2" t="s">
        <v>32</v>
      </c>
    </row>
    <row r="12">
      <c r="A12" s="2">
        <v>529.0</v>
      </c>
      <c r="B12" s="9" t="s">
        <v>60</v>
      </c>
      <c r="C12" s="2" t="s">
        <v>32</v>
      </c>
      <c r="D12" s="2" t="s">
        <v>32</v>
      </c>
    </row>
    <row r="13">
      <c r="A13" s="2">
        <v>2910.0</v>
      </c>
      <c r="B13" s="9" t="s">
        <v>64</v>
      </c>
      <c r="C13" s="2" t="s">
        <v>32</v>
      </c>
      <c r="D13" s="2" t="s">
        <v>41</v>
      </c>
    </row>
    <row r="14">
      <c r="A14" s="2">
        <v>1222.0</v>
      </c>
      <c r="B14" s="9" t="s">
        <v>69</v>
      </c>
      <c r="C14" s="2" t="s">
        <v>32</v>
      </c>
      <c r="D14" s="2" t="s">
        <v>32</v>
      </c>
    </row>
    <row r="15">
      <c r="A15" s="2">
        <v>3391.0</v>
      </c>
      <c r="B15" s="9" t="s">
        <v>72</v>
      </c>
      <c r="C15" s="2" t="s">
        <v>32</v>
      </c>
      <c r="D15" s="2" t="s">
        <v>32</v>
      </c>
    </row>
    <row r="16">
      <c r="A16" s="2">
        <v>2179.0</v>
      </c>
      <c r="B16" s="9" t="s">
        <v>76</v>
      </c>
      <c r="C16" s="2" t="s">
        <v>32</v>
      </c>
      <c r="D16" s="2" t="s">
        <v>32</v>
      </c>
    </row>
    <row r="17">
      <c r="A17" s="2">
        <v>1131.0</v>
      </c>
      <c r="B17" s="9" t="s">
        <v>61</v>
      </c>
      <c r="C17" s="2" t="s">
        <v>32</v>
      </c>
      <c r="D17" s="2" t="s">
        <v>32</v>
      </c>
    </row>
    <row r="18">
      <c r="A18" s="2">
        <v>1115.0</v>
      </c>
      <c r="B18" s="9" t="s">
        <v>57</v>
      </c>
      <c r="C18" s="2" t="s">
        <v>32</v>
      </c>
      <c r="D18" s="2" t="s">
        <v>32</v>
      </c>
    </row>
    <row r="19">
      <c r="A19" s="2">
        <v>1260.0</v>
      </c>
      <c r="B19" s="9" t="s">
        <v>86</v>
      </c>
      <c r="C19" s="2" t="s">
        <v>32</v>
      </c>
      <c r="D19" s="2" t="s">
        <v>32</v>
      </c>
    </row>
    <row r="20">
      <c r="A20" s="2">
        <v>169.0</v>
      </c>
      <c r="B20" s="9" t="s">
        <v>90</v>
      </c>
      <c r="C20" s="2" t="s">
        <v>32</v>
      </c>
      <c r="D20" s="2" t="s">
        <v>32</v>
      </c>
    </row>
    <row r="21">
      <c r="A21" s="2">
        <v>1704.0</v>
      </c>
      <c r="B21" s="9" t="s">
        <v>95</v>
      </c>
      <c r="C21" s="2" t="s">
        <v>32</v>
      </c>
      <c r="D21" s="2" t="s">
        <v>32</v>
      </c>
    </row>
    <row r="22">
      <c r="A22" s="2">
        <v>2587.0</v>
      </c>
      <c r="B22" s="9" t="s">
        <v>110</v>
      </c>
      <c r="C22" s="2" t="s">
        <v>32</v>
      </c>
      <c r="D22" s="2" t="s">
        <v>32</v>
      </c>
    </row>
    <row r="23">
      <c r="A23" s="2">
        <v>3425.0</v>
      </c>
      <c r="B23" s="9" t="s">
        <v>115</v>
      </c>
      <c r="C23" s="2" t="s">
        <v>32</v>
      </c>
      <c r="D23" s="2" t="s">
        <v>32</v>
      </c>
    </row>
    <row r="24">
      <c r="A24" s="2">
        <v>974.0</v>
      </c>
      <c r="B24" s="9" t="s">
        <v>117</v>
      </c>
      <c r="C24" s="2" t="s">
        <v>32</v>
      </c>
      <c r="D24" s="2" t="s">
        <v>32</v>
      </c>
    </row>
    <row r="25">
      <c r="A25" s="2">
        <v>3112.0</v>
      </c>
      <c r="B25" s="9" t="s">
        <v>120</v>
      </c>
      <c r="C25" s="2" t="s">
        <v>32</v>
      </c>
      <c r="D25" s="2" t="s">
        <v>32</v>
      </c>
    </row>
    <row r="26">
      <c r="A26" s="2">
        <v>1686.0</v>
      </c>
      <c r="B26" s="9" t="s">
        <v>126</v>
      </c>
      <c r="C26" s="2" t="s">
        <v>32</v>
      </c>
      <c r="D26" s="2" t="s">
        <v>32</v>
      </c>
    </row>
    <row r="27">
      <c r="A27" s="2">
        <v>3938.0</v>
      </c>
      <c r="B27" s="9" t="s">
        <v>131</v>
      </c>
      <c r="C27" s="2" t="s">
        <v>32</v>
      </c>
      <c r="D27" s="2" t="s">
        <v>32</v>
      </c>
    </row>
    <row r="28">
      <c r="A28" s="2">
        <v>83.0</v>
      </c>
      <c r="B28" s="9" t="s">
        <v>135</v>
      </c>
      <c r="C28" s="2" t="s">
        <v>32</v>
      </c>
      <c r="D28" s="2" t="s">
        <v>32</v>
      </c>
    </row>
    <row r="29">
      <c r="A29" s="2">
        <v>2177.0</v>
      </c>
      <c r="B29" s="9" t="s">
        <v>138</v>
      </c>
      <c r="C29" s="2" t="s">
        <v>32</v>
      </c>
      <c r="D29" s="2" t="s">
        <v>32</v>
      </c>
    </row>
    <row r="30">
      <c r="A30" s="2">
        <v>1702.0</v>
      </c>
      <c r="B30" s="9" t="s">
        <v>142</v>
      </c>
      <c r="C30" s="2" t="s">
        <v>32</v>
      </c>
      <c r="D30" s="2" t="s">
        <v>32</v>
      </c>
    </row>
    <row r="31">
      <c r="A31" s="2">
        <v>2235.0</v>
      </c>
      <c r="B31" s="9" t="s">
        <v>146</v>
      </c>
      <c r="C31" s="2" t="s">
        <v>32</v>
      </c>
      <c r="D31" s="2" t="s">
        <v>32</v>
      </c>
    </row>
    <row r="32">
      <c r="A32" s="2">
        <v>3388.0</v>
      </c>
      <c r="B32" s="9" t="s">
        <v>150</v>
      </c>
      <c r="C32" s="2" t="s">
        <v>32</v>
      </c>
      <c r="D32" s="2" t="s">
        <v>32</v>
      </c>
    </row>
    <row r="33">
      <c r="A33" s="2">
        <v>1792.0</v>
      </c>
      <c r="B33" s="9" t="s">
        <v>156</v>
      </c>
      <c r="C33" s="2" t="s">
        <v>32</v>
      </c>
      <c r="D33" s="2" t="s">
        <v>32</v>
      </c>
    </row>
    <row r="34">
      <c r="A34" s="2">
        <v>1020.0</v>
      </c>
      <c r="B34" s="9" t="s">
        <v>14</v>
      </c>
      <c r="C34" s="2" t="s">
        <v>32</v>
      </c>
      <c r="D34" s="2" t="s">
        <v>32</v>
      </c>
    </row>
    <row r="35">
      <c r="A35" s="2">
        <v>1545.0</v>
      </c>
      <c r="B35" s="9" t="s">
        <v>164</v>
      </c>
      <c r="C35" s="2" t="s">
        <v>32</v>
      </c>
      <c r="D35" s="2" t="s">
        <v>32</v>
      </c>
    </row>
    <row r="36">
      <c r="A36" s="2">
        <v>667.0</v>
      </c>
      <c r="B36" s="9" t="s">
        <v>169</v>
      </c>
      <c r="C36" s="2" t="s">
        <v>32</v>
      </c>
      <c r="D36" s="2" t="s">
        <v>32</v>
      </c>
    </row>
    <row r="37">
      <c r="A37" s="2">
        <v>194.0</v>
      </c>
      <c r="B37" s="9" t="s">
        <v>173</v>
      </c>
      <c r="C37" s="2" t="s">
        <v>32</v>
      </c>
      <c r="D37" s="2" t="s">
        <v>32</v>
      </c>
    </row>
    <row r="38">
      <c r="A38" s="2">
        <v>4109.0</v>
      </c>
      <c r="B38" s="9" t="s">
        <v>178</v>
      </c>
      <c r="C38" s="2" t="s">
        <v>32</v>
      </c>
      <c r="D38" s="2" t="s">
        <v>32</v>
      </c>
    </row>
    <row r="39">
      <c r="A39" s="2">
        <v>1538.0</v>
      </c>
      <c r="B39" s="9" t="s">
        <v>182</v>
      </c>
      <c r="C39" s="2" t="s">
        <v>32</v>
      </c>
      <c r="D39" s="2" t="s">
        <v>32</v>
      </c>
    </row>
    <row r="40">
      <c r="A40" s="2">
        <v>590.0</v>
      </c>
      <c r="B40" s="9" t="s">
        <v>185</v>
      </c>
      <c r="C40" s="2" t="s">
        <v>32</v>
      </c>
      <c r="D40" s="2" t="s">
        <v>32</v>
      </c>
    </row>
    <row r="41">
      <c r="A41" s="2">
        <v>1924.0</v>
      </c>
      <c r="B41" s="9" t="s">
        <v>189</v>
      </c>
      <c r="C41" s="2" t="s">
        <v>32</v>
      </c>
      <c r="D41" s="2" t="s">
        <v>32</v>
      </c>
    </row>
    <row r="42">
      <c r="A42" s="2">
        <v>831.0</v>
      </c>
      <c r="B42" s="9" t="s">
        <v>195</v>
      </c>
      <c r="C42" s="2" t="s">
        <v>32</v>
      </c>
      <c r="D42" s="2" t="s">
        <v>32</v>
      </c>
    </row>
    <row r="43">
      <c r="A43" s="2">
        <v>596.0</v>
      </c>
      <c r="B43" s="9" t="s">
        <v>201</v>
      </c>
      <c r="C43" s="2" t="s">
        <v>32</v>
      </c>
      <c r="D43" s="2" t="s">
        <v>32</v>
      </c>
    </row>
    <row r="44">
      <c r="A44" s="2">
        <v>209.0</v>
      </c>
      <c r="B44" s="9" t="s">
        <v>206</v>
      </c>
      <c r="C44" s="2" t="s">
        <v>32</v>
      </c>
      <c r="D44" s="2" t="s">
        <v>32</v>
      </c>
    </row>
    <row r="45">
      <c r="A45" s="2">
        <v>1272.0</v>
      </c>
      <c r="B45" s="9" t="s">
        <v>166</v>
      </c>
      <c r="C45" s="2" t="s">
        <v>32</v>
      </c>
      <c r="D45" s="2" t="s">
        <v>32</v>
      </c>
    </row>
    <row r="46">
      <c r="A46" s="2">
        <v>2007.0</v>
      </c>
      <c r="B46" s="9" t="s">
        <v>221</v>
      </c>
      <c r="C46" s="2" t="s">
        <v>32</v>
      </c>
      <c r="D46" s="2" t="s">
        <v>32</v>
      </c>
    </row>
    <row r="47">
      <c r="A47" s="2">
        <v>1965.0</v>
      </c>
      <c r="B47" s="9" t="s">
        <v>228</v>
      </c>
      <c r="C47" s="2" t="s">
        <v>32</v>
      </c>
      <c r="D47" s="2" t="s">
        <v>32</v>
      </c>
    </row>
    <row r="48">
      <c r="A48" s="2">
        <v>1732.0</v>
      </c>
      <c r="B48" s="9" t="s">
        <v>243</v>
      </c>
      <c r="C48" s="2" t="s">
        <v>32</v>
      </c>
      <c r="D48" s="2" t="s">
        <v>32</v>
      </c>
    </row>
    <row r="49">
      <c r="A49" s="2">
        <v>1158.0</v>
      </c>
      <c r="B49" s="9" t="s">
        <v>70</v>
      </c>
      <c r="C49" s="2" t="s">
        <v>32</v>
      </c>
      <c r="D49" s="2" t="s">
        <v>32</v>
      </c>
    </row>
    <row r="50">
      <c r="A50" s="2">
        <v>2296.0</v>
      </c>
      <c r="B50" s="9" t="s">
        <v>266</v>
      </c>
      <c r="C50" s="2" t="s">
        <v>32</v>
      </c>
      <c r="D50" s="2" t="s">
        <v>32</v>
      </c>
    </row>
    <row r="51">
      <c r="A51" s="2">
        <v>2789.0</v>
      </c>
      <c r="B51" s="9" t="s">
        <v>273</v>
      </c>
      <c r="C51" s="2" t="s">
        <v>32</v>
      </c>
      <c r="D51" s="2" t="s">
        <v>32</v>
      </c>
    </row>
    <row r="52">
      <c r="A52" s="2">
        <v>1351.0</v>
      </c>
      <c r="B52" s="9" t="s">
        <v>246</v>
      </c>
      <c r="C52" s="2" t="s">
        <v>32</v>
      </c>
      <c r="D52" s="2" t="s">
        <v>32</v>
      </c>
    </row>
    <row r="53">
      <c r="A53" s="2">
        <v>2090.0</v>
      </c>
      <c r="B53" s="9" t="s">
        <v>285</v>
      </c>
      <c r="C53" s="2" t="s">
        <v>32</v>
      </c>
      <c r="D53" s="2" t="s">
        <v>32</v>
      </c>
    </row>
    <row r="54">
      <c r="A54" s="2">
        <v>121.0</v>
      </c>
      <c r="B54" s="9" t="s">
        <v>94</v>
      </c>
      <c r="C54" s="2" t="s">
        <v>32</v>
      </c>
      <c r="D54" s="2" t="s">
        <v>32</v>
      </c>
    </row>
    <row r="55">
      <c r="A55" s="2">
        <v>298.0</v>
      </c>
      <c r="B55" s="9" t="s">
        <v>299</v>
      </c>
      <c r="C55" s="2" t="s">
        <v>32</v>
      </c>
      <c r="D55" s="2" t="s">
        <v>32</v>
      </c>
    </row>
    <row r="56">
      <c r="A56" s="2">
        <v>1813.0</v>
      </c>
      <c r="B56" s="9" t="s">
        <v>308</v>
      </c>
      <c r="C56" s="2" t="s">
        <v>32</v>
      </c>
      <c r="D56" s="2" t="s">
        <v>32</v>
      </c>
    </row>
    <row r="57">
      <c r="A57" s="2">
        <v>2052.0</v>
      </c>
      <c r="B57" s="9" t="s">
        <v>313</v>
      </c>
      <c r="C57" s="2" t="s">
        <v>32</v>
      </c>
      <c r="D57" s="2" t="s">
        <v>32</v>
      </c>
    </row>
    <row r="58">
      <c r="A58" s="2">
        <v>1675.0</v>
      </c>
      <c r="B58" s="9" t="s">
        <v>319</v>
      </c>
      <c r="C58" s="2" t="s">
        <v>32</v>
      </c>
      <c r="D58" s="2" t="s">
        <v>32</v>
      </c>
    </row>
    <row r="59">
      <c r="A59" s="2">
        <v>1197.0</v>
      </c>
      <c r="B59" s="9" t="s">
        <v>80</v>
      </c>
      <c r="C59" s="2" t="s">
        <v>32</v>
      </c>
      <c r="D59" s="2" t="s">
        <v>32</v>
      </c>
    </row>
    <row r="60">
      <c r="A60" s="2">
        <v>33.0</v>
      </c>
      <c r="B60" s="9" t="s">
        <v>331</v>
      </c>
      <c r="C60" s="2" t="s">
        <v>32</v>
      </c>
      <c r="D60" s="2" t="s">
        <v>32</v>
      </c>
    </row>
    <row r="61">
      <c r="A61" s="2">
        <v>1703.0</v>
      </c>
      <c r="B61" s="9" t="s">
        <v>339</v>
      </c>
      <c r="C61" s="2" t="s">
        <v>32</v>
      </c>
      <c r="D61" s="2" t="s">
        <v>32</v>
      </c>
    </row>
    <row r="62">
      <c r="A62" s="2">
        <v>1810.0</v>
      </c>
      <c r="B62" s="9" t="s">
        <v>344</v>
      </c>
      <c r="C62" s="2" t="s">
        <v>32</v>
      </c>
      <c r="D62" s="2" t="s">
        <v>32</v>
      </c>
    </row>
    <row r="63">
      <c r="A63" s="2">
        <v>322.0</v>
      </c>
      <c r="B63" s="9" t="s">
        <v>350</v>
      </c>
      <c r="C63" s="2" t="s">
        <v>32</v>
      </c>
      <c r="D63" s="2" t="s">
        <v>32</v>
      </c>
    </row>
    <row r="64">
      <c r="A64" s="2">
        <v>579.0</v>
      </c>
      <c r="B64" s="9" t="s">
        <v>357</v>
      </c>
      <c r="C64" s="2" t="s">
        <v>32</v>
      </c>
      <c r="D64" s="2" t="s">
        <v>32</v>
      </c>
    </row>
    <row r="65">
      <c r="A65" s="2">
        <v>1277.0</v>
      </c>
      <c r="B65" s="9" t="s">
        <v>179</v>
      </c>
      <c r="C65" s="2" t="s">
        <v>32</v>
      </c>
      <c r="D65" s="2" t="s">
        <v>32</v>
      </c>
    </row>
    <row r="66">
      <c r="A66" s="2">
        <v>350.0</v>
      </c>
      <c r="B66" s="9" t="s">
        <v>368</v>
      </c>
      <c r="C66" s="2" t="s">
        <v>32</v>
      </c>
      <c r="D66" s="2" t="s">
        <v>32</v>
      </c>
    </row>
    <row r="67">
      <c r="A67" s="2">
        <v>9.0</v>
      </c>
      <c r="B67" s="9" t="s">
        <v>375</v>
      </c>
      <c r="C67" s="2" t="s">
        <v>32</v>
      </c>
      <c r="D67" s="2" t="s">
        <v>32</v>
      </c>
    </row>
    <row r="68">
      <c r="A68" s="2">
        <v>2276.0</v>
      </c>
      <c r="B68" s="9" t="s">
        <v>385</v>
      </c>
      <c r="C68" s="2" t="s">
        <v>32</v>
      </c>
      <c r="D68" s="2" t="s">
        <v>32</v>
      </c>
    </row>
    <row r="69">
      <c r="A69" s="2">
        <v>2055.0</v>
      </c>
      <c r="B69" s="9" t="s">
        <v>389</v>
      </c>
      <c r="C69" s="2" t="s">
        <v>32</v>
      </c>
      <c r="D69" s="2" t="s">
        <v>32</v>
      </c>
    </row>
    <row r="70">
      <c r="A70" s="2">
        <v>1551.0</v>
      </c>
      <c r="B70" s="9" t="s">
        <v>329</v>
      </c>
      <c r="C70" s="2" t="s">
        <v>32</v>
      </c>
      <c r="D70" s="2" t="s">
        <v>32</v>
      </c>
    </row>
    <row r="71">
      <c r="A71" s="2">
        <v>2089.0</v>
      </c>
      <c r="B71" s="9" t="s">
        <v>396</v>
      </c>
      <c r="C71" s="2" t="s">
        <v>32</v>
      </c>
      <c r="D71" s="2" t="s">
        <v>32</v>
      </c>
    </row>
    <row r="72">
      <c r="A72" s="2">
        <v>2000.0</v>
      </c>
      <c r="B72" s="8" t="s">
        <v>404</v>
      </c>
      <c r="C72" s="2" t="s">
        <v>32</v>
      </c>
      <c r="D72" s="2" t="s">
        <v>32</v>
      </c>
    </row>
    <row r="73">
      <c r="A73" s="2">
        <v>1689.0</v>
      </c>
      <c r="B73" s="9" t="s">
        <v>405</v>
      </c>
      <c r="C73" s="2" t="s">
        <v>32</v>
      </c>
      <c r="D73" s="2" t="s">
        <v>32</v>
      </c>
    </row>
    <row r="74">
      <c r="A74" s="2">
        <v>1745.0</v>
      </c>
      <c r="B74" s="9" t="s">
        <v>419</v>
      </c>
      <c r="C74" s="2" t="s">
        <v>32</v>
      </c>
      <c r="D74" s="2" t="s">
        <v>32</v>
      </c>
    </row>
    <row r="75">
      <c r="A75" s="2">
        <v>196.0</v>
      </c>
      <c r="B75" s="9" t="s">
        <v>421</v>
      </c>
      <c r="C75" s="2" t="s">
        <v>32</v>
      </c>
      <c r="D75" s="2" t="s">
        <v>32</v>
      </c>
    </row>
    <row r="76">
      <c r="A76" s="2">
        <v>2330.0</v>
      </c>
      <c r="B76" s="8" t="s">
        <v>425</v>
      </c>
      <c r="C76" s="2" t="s">
        <v>32</v>
      </c>
      <c r="D76" s="2" t="s">
        <v>32</v>
      </c>
    </row>
    <row r="77">
      <c r="A77" s="2">
        <v>388.0</v>
      </c>
      <c r="B77" s="9" t="s">
        <v>434</v>
      </c>
      <c r="C77" s="2" t="s">
        <v>32</v>
      </c>
      <c r="D77" s="2" t="s">
        <v>32</v>
      </c>
    </row>
    <row r="78">
      <c r="A78" s="2">
        <v>1890.0</v>
      </c>
      <c r="B78" s="9" t="s">
        <v>445</v>
      </c>
      <c r="C78" s="2" t="s">
        <v>32</v>
      </c>
      <c r="D78" s="2" t="s">
        <v>32</v>
      </c>
    </row>
    <row r="79">
      <c r="A79" s="2">
        <v>1136.0</v>
      </c>
      <c r="B79" s="9" t="s">
        <v>66</v>
      </c>
      <c r="C79" s="2" t="s">
        <v>32</v>
      </c>
      <c r="D79" s="2" t="s">
        <v>32</v>
      </c>
    </row>
    <row r="80">
      <c r="A80" s="2">
        <v>1820.0</v>
      </c>
      <c r="B80" s="9" t="s">
        <v>465</v>
      </c>
      <c r="C80" s="2" t="s">
        <v>32</v>
      </c>
      <c r="D80" s="2" t="s">
        <v>32</v>
      </c>
    </row>
    <row r="81">
      <c r="A81" s="2">
        <v>1885.0</v>
      </c>
      <c r="B81" s="9" t="s">
        <v>470</v>
      </c>
      <c r="C81" s="2" t="s">
        <v>32</v>
      </c>
      <c r="D81" s="2" t="s">
        <v>32</v>
      </c>
    </row>
    <row r="82">
      <c r="A82" s="2">
        <v>1221.0</v>
      </c>
      <c r="B82" s="9" t="s">
        <v>125</v>
      </c>
      <c r="C82" s="2" t="s">
        <v>32</v>
      </c>
      <c r="D82" s="2" t="s">
        <v>32</v>
      </c>
    </row>
    <row r="83">
      <c r="A83" s="2">
        <v>2561.0</v>
      </c>
      <c r="B83" s="9" t="s">
        <v>487</v>
      </c>
      <c r="C83" s="2" t="s">
        <v>32</v>
      </c>
      <c r="D83" s="2" t="s">
        <v>32</v>
      </c>
    </row>
    <row r="84">
      <c r="A84" s="2">
        <v>2652.0</v>
      </c>
      <c r="B84" s="9" t="s">
        <v>498</v>
      </c>
      <c r="C84" s="2" t="s">
        <v>32</v>
      </c>
      <c r="D84" s="2" t="s">
        <v>32</v>
      </c>
    </row>
    <row r="85">
      <c r="A85" s="2">
        <v>337.0</v>
      </c>
      <c r="B85" s="9" t="s">
        <v>503</v>
      </c>
      <c r="C85" s="2" t="s">
        <v>32</v>
      </c>
      <c r="D85" s="2" t="s">
        <v>32</v>
      </c>
    </row>
    <row r="86">
      <c r="A86" s="2">
        <v>2899.0</v>
      </c>
      <c r="B86" s="9" t="s">
        <v>509</v>
      </c>
      <c r="C86" s="2" t="s">
        <v>32</v>
      </c>
      <c r="D86" s="2" t="s">
        <v>32</v>
      </c>
    </row>
    <row r="87">
      <c r="A87" s="2">
        <v>411.0</v>
      </c>
      <c r="B87" s="9" t="s">
        <v>514</v>
      </c>
      <c r="C87" s="2" t="s">
        <v>32</v>
      </c>
      <c r="D87" s="2" t="s">
        <v>32</v>
      </c>
    </row>
    <row r="88">
      <c r="A88" s="2">
        <v>166.0</v>
      </c>
      <c r="B88" s="9" t="s">
        <v>360</v>
      </c>
      <c r="C88" s="2" t="s">
        <v>32</v>
      </c>
      <c r="D88" s="2" t="s">
        <v>32</v>
      </c>
    </row>
    <row r="89">
      <c r="A89" s="2">
        <v>1432.0</v>
      </c>
      <c r="B89" s="9" t="s">
        <v>283</v>
      </c>
      <c r="C89" s="2" t="s">
        <v>32</v>
      </c>
      <c r="D89" s="2" t="s">
        <v>32</v>
      </c>
    </row>
    <row r="90">
      <c r="A90" s="2">
        <v>237.0</v>
      </c>
      <c r="B90" s="9" t="s">
        <v>530</v>
      </c>
      <c r="C90" s="2" t="s">
        <v>32</v>
      </c>
      <c r="D90" s="2" t="s">
        <v>32</v>
      </c>
    </row>
    <row r="91">
      <c r="A91" s="2">
        <v>5784.0</v>
      </c>
      <c r="B91" s="9" t="s">
        <v>536</v>
      </c>
      <c r="C91" s="2" t="s">
        <v>32</v>
      </c>
      <c r="D91" s="2" t="s">
        <v>32</v>
      </c>
    </row>
    <row r="92">
      <c r="A92" s="2">
        <v>270.0</v>
      </c>
      <c r="B92" s="9" t="s">
        <v>542</v>
      </c>
      <c r="C92" s="2" t="s">
        <v>32</v>
      </c>
      <c r="D92" s="2" t="s">
        <v>32</v>
      </c>
    </row>
    <row r="93">
      <c r="A93" s="2">
        <v>974.0</v>
      </c>
      <c r="B93" s="9" t="s">
        <v>547</v>
      </c>
      <c r="C93" s="2" t="s">
        <v>32</v>
      </c>
      <c r="D93" s="2" t="s">
        <v>32</v>
      </c>
    </row>
    <row r="94">
      <c r="A94" s="2">
        <v>2434.0</v>
      </c>
      <c r="B94" s="9" t="s">
        <v>553</v>
      </c>
      <c r="C94" s="2" t="s">
        <v>32</v>
      </c>
      <c r="D94" s="2" t="s">
        <v>32</v>
      </c>
    </row>
    <row r="95">
      <c r="A95" s="2">
        <v>2635.0</v>
      </c>
      <c r="B95" s="9" t="s">
        <v>561</v>
      </c>
      <c r="C95" s="2" t="s">
        <v>32</v>
      </c>
      <c r="D95" s="2" t="s">
        <v>32</v>
      </c>
    </row>
    <row r="96">
      <c r="A96" s="2">
        <v>2122.0</v>
      </c>
      <c r="B96" s="9" t="s">
        <v>566</v>
      </c>
      <c r="C96" s="2" t="s">
        <v>32</v>
      </c>
      <c r="D96" s="2" t="s">
        <v>32</v>
      </c>
    </row>
    <row r="97">
      <c r="A97" s="2">
        <v>2130.0</v>
      </c>
      <c r="B97" s="9" t="s">
        <v>572</v>
      </c>
      <c r="C97" s="2" t="s">
        <v>32</v>
      </c>
      <c r="D97" s="2" t="s">
        <v>32</v>
      </c>
    </row>
    <row r="98">
      <c r="A98" s="2">
        <v>6050.0</v>
      </c>
      <c r="B98" s="9" t="s">
        <v>578</v>
      </c>
      <c r="C98" s="2" t="s">
        <v>32</v>
      </c>
      <c r="D98" s="2" t="s">
        <v>32</v>
      </c>
    </row>
    <row r="99">
      <c r="A99" s="2">
        <v>1334.0</v>
      </c>
      <c r="B99" s="9" t="s">
        <v>226</v>
      </c>
      <c r="C99" s="2" t="s">
        <v>32</v>
      </c>
      <c r="D99" s="2" t="s">
        <v>32</v>
      </c>
    </row>
    <row r="100">
      <c r="A100" s="2">
        <v>1067.0</v>
      </c>
      <c r="B100" s="9" t="s">
        <v>42</v>
      </c>
      <c r="C100" s="2" t="s">
        <v>32</v>
      </c>
      <c r="D100" s="2" t="s">
        <v>32</v>
      </c>
    </row>
    <row r="101">
      <c r="A101" s="2">
        <v>563.0</v>
      </c>
      <c r="B101" s="9" t="s">
        <v>593</v>
      </c>
      <c r="C101" s="2" t="s">
        <v>32</v>
      </c>
      <c r="D101" s="2" t="s">
        <v>32</v>
      </c>
    </row>
    <row r="102">
      <c r="A102" s="2">
        <v>1687.0</v>
      </c>
      <c r="B102" s="9" t="s">
        <v>392</v>
      </c>
      <c r="C102" s="2" t="s">
        <v>32</v>
      </c>
      <c r="D102" s="2" t="s">
        <v>32</v>
      </c>
    </row>
    <row r="103">
      <c r="A103" s="2">
        <v>2207.0</v>
      </c>
      <c r="B103" s="9" t="s">
        <v>604</v>
      </c>
      <c r="C103" s="2" t="s">
        <v>32</v>
      </c>
      <c r="D103" s="2" t="s">
        <v>32</v>
      </c>
    </row>
    <row r="104">
      <c r="A104" s="2">
        <v>6585.0</v>
      </c>
      <c r="B104" s="9" t="s">
        <v>611</v>
      </c>
      <c r="C104" s="2" t="s">
        <v>32</v>
      </c>
      <c r="D104" s="2" t="s">
        <v>32</v>
      </c>
    </row>
    <row r="105">
      <c r="A105" s="2">
        <v>1294.0</v>
      </c>
      <c r="B105" s="9" t="s">
        <v>197</v>
      </c>
      <c r="C105" s="2" t="s">
        <v>32</v>
      </c>
      <c r="D105" s="2" t="s">
        <v>32</v>
      </c>
    </row>
    <row r="106">
      <c r="A106" s="2">
        <v>1793.0</v>
      </c>
      <c r="B106" s="9" t="s">
        <v>582</v>
      </c>
      <c r="C106" s="2" t="s">
        <v>32</v>
      </c>
      <c r="D106" s="2" t="s">
        <v>32</v>
      </c>
    </row>
    <row r="107">
      <c r="A107" s="2">
        <v>3493.0</v>
      </c>
      <c r="B107" s="9" t="s">
        <v>618</v>
      </c>
      <c r="C107" s="2" t="s">
        <v>32</v>
      </c>
      <c r="D107" s="2" t="s">
        <v>32</v>
      </c>
    </row>
    <row r="108">
      <c r="A108" s="2">
        <v>2130.0</v>
      </c>
      <c r="B108" s="9" t="s">
        <v>619</v>
      </c>
      <c r="C108" s="2" t="s">
        <v>32</v>
      </c>
      <c r="D108" s="2" t="s">
        <v>32</v>
      </c>
    </row>
    <row r="109">
      <c r="A109" s="2">
        <v>3266.0</v>
      </c>
      <c r="B109" s="9" t="s">
        <v>622</v>
      </c>
      <c r="C109" s="2" t="s">
        <v>32</v>
      </c>
      <c r="D109" s="2" t="s">
        <v>32</v>
      </c>
    </row>
    <row r="110">
      <c r="A110" s="2">
        <v>1892.0</v>
      </c>
      <c r="B110" s="9" t="s">
        <v>621</v>
      </c>
      <c r="C110" s="2" t="s">
        <v>32</v>
      </c>
      <c r="D110" s="2" t="s">
        <v>32</v>
      </c>
    </row>
    <row r="111">
      <c r="A111" s="2">
        <v>1723.0</v>
      </c>
      <c r="B111" s="9" t="s">
        <v>524</v>
      </c>
      <c r="C111" s="2" t="s">
        <v>32</v>
      </c>
      <c r="D111" s="2" t="s">
        <v>32</v>
      </c>
    </row>
    <row r="112">
      <c r="A112" s="2">
        <v>563.0</v>
      </c>
      <c r="B112" s="9" t="s">
        <v>626</v>
      </c>
      <c r="C112" s="2" t="s">
        <v>32</v>
      </c>
      <c r="D112" s="2" t="s">
        <v>32</v>
      </c>
    </row>
    <row r="113">
      <c r="A113" s="2">
        <v>240.0</v>
      </c>
      <c r="B113" s="9" t="s">
        <v>630</v>
      </c>
      <c r="C113" s="2" t="s">
        <v>32</v>
      </c>
      <c r="D113" s="2" t="s">
        <v>32</v>
      </c>
    </row>
    <row r="114">
      <c r="A114" s="2">
        <v>2968.0</v>
      </c>
      <c r="B114" s="9" t="s">
        <v>632</v>
      </c>
      <c r="C114" s="2" t="s">
        <v>32</v>
      </c>
      <c r="D114" s="2" t="s">
        <v>32</v>
      </c>
    </row>
    <row r="115">
      <c r="A115" s="2">
        <v>1208.0</v>
      </c>
      <c r="B115" s="9" t="s">
        <v>85</v>
      </c>
      <c r="C115" s="2" t="s">
        <v>32</v>
      </c>
      <c r="D115" s="2" t="s">
        <v>32</v>
      </c>
    </row>
    <row r="116">
      <c r="A116" s="2">
        <v>141.0</v>
      </c>
      <c r="B116" s="9" t="s">
        <v>269</v>
      </c>
      <c r="C116" s="2" t="s">
        <v>32</v>
      </c>
      <c r="D116" s="2" t="s">
        <v>32</v>
      </c>
    </row>
    <row r="117">
      <c r="A117" s="2">
        <v>29.0</v>
      </c>
      <c r="B117" s="9" t="s">
        <v>638</v>
      </c>
      <c r="C117" s="2" t="s">
        <v>32</v>
      </c>
      <c r="D117" s="2" t="s">
        <v>32</v>
      </c>
    </row>
    <row r="118">
      <c r="A118" s="2">
        <v>266.0</v>
      </c>
      <c r="B118" s="9" t="s">
        <v>643</v>
      </c>
      <c r="C118" s="2" t="s">
        <v>32</v>
      </c>
      <c r="D118" s="2" t="s">
        <v>32</v>
      </c>
    </row>
    <row r="119">
      <c r="A119" s="2">
        <v>2191.0</v>
      </c>
      <c r="B119" s="9" t="s">
        <v>650</v>
      </c>
      <c r="C119" s="2" t="s">
        <v>32</v>
      </c>
      <c r="D119" s="2" t="s">
        <v>32</v>
      </c>
    </row>
    <row r="120">
      <c r="A120" s="2">
        <v>231.0</v>
      </c>
      <c r="B120" s="9" t="s">
        <v>653</v>
      </c>
      <c r="C120" s="2" t="s">
        <v>32</v>
      </c>
      <c r="D120" s="2" t="s">
        <v>32</v>
      </c>
    </row>
    <row r="121">
      <c r="A121" s="2">
        <v>1904.0</v>
      </c>
      <c r="B121" s="9" t="s">
        <v>628</v>
      </c>
      <c r="C121" s="2" t="s">
        <v>32</v>
      </c>
      <c r="D121" s="2" t="s">
        <v>32</v>
      </c>
    </row>
    <row r="122">
      <c r="A122" s="2">
        <v>962.0</v>
      </c>
      <c r="B122" s="9" t="s">
        <v>656</v>
      </c>
      <c r="C122" s="2" t="s">
        <v>32</v>
      </c>
      <c r="D122" s="2" t="s">
        <v>32</v>
      </c>
    </row>
    <row r="123">
      <c r="A123" s="2">
        <v>1696.0</v>
      </c>
      <c r="B123" s="9" t="s">
        <v>429</v>
      </c>
      <c r="C123" s="2" t="s">
        <v>32</v>
      </c>
      <c r="D123" s="2" t="s">
        <v>32</v>
      </c>
    </row>
    <row r="124">
      <c r="A124" s="2">
        <v>182.0</v>
      </c>
      <c r="B124" s="9" t="s">
        <v>606</v>
      </c>
      <c r="C124" s="2" t="s">
        <v>32</v>
      </c>
      <c r="D124" s="2" t="s">
        <v>32</v>
      </c>
    </row>
    <row r="125">
      <c r="A125" s="2">
        <v>2166.0</v>
      </c>
      <c r="B125" s="9" t="s">
        <v>659</v>
      </c>
      <c r="C125" s="2" t="s">
        <v>32</v>
      </c>
      <c r="D125" s="2" t="s">
        <v>32</v>
      </c>
    </row>
    <row r="126">
      <c r="A126" s="2">
        <v>1651.0</v>
      </c>
      <c r="B126" s="9" t="s">
        <v>346</v>
      </c>
      <c r="C126" s="2" t="s">
        <v>32</v>
      </c>
      <c r="D126" s="2" t="s">
        <v>32</v>
      </c>
    </row>
    <row r="127">
      <c r="A127" s="2">
        <v>3899.0</v>
      </c>
      <c r="B127" s="9" t="s">
        <v>669</v>
      </c>
      <c r="C127" s="2" t="s">
        <v>32</v>
      </c>
      <c r="D127" s="2" t="s">
        <v>32</v>
      </c>
    </row>
    <row r="128">
      <c r="A128" s="2">
        <v>1900.0</v>
      </c>
      <c r="B128" s="9" t="s">
        <v>624</v>
      </c>
      <c r="C128" s="2" t="s">
        <v>32</v>
      </c>
      <c r="D128" s="2" t="s">
        <v>32</v>
      </c>
    </row>
    <row r="129">
      <c r="A129" s="2">
        <v>1724.0</v>
      </c>
      <c r="B129" s="9" t="s">
        <v>534</v>
      </c>
      <c r="C129" s="2" t="s">
        <v>32</v>
      </c>
      <c r="D129" s="2" t="s">
        <v>32</v>
      </c>
    </row>
    <row r="130">
      <c r="A130" s="2">
        <v>5787.0</v>
      </c>
      <c r="B130" s="8" t="s">
        <v>671</v>
      </c>
      <c r="C130" s="2" t="s">
        <v>32</v>
      </c>
      <c r="D130" s="2" t="s">
        <v>32</v>
      </c>
    </row>
    <row r="131">
      <c r="A131" s="2">
        <v>3226.0</v>
      </c>
      <c r="B131" s="8" t="s">
        <v>673</v>
      </c>
      <c r="C131" s="2" t="s">
        <v>32</v>
      </c>
      <c r="D131" s="2" t="s">
        <v>32</v>
      </c>
    </row>
    <row r="132">
      <c r="A132" s="2">
        <v>5700.0</v>
      </c>
      <c r="B132" s="8" t="s">
        <v>674</v>
      </c>
      <c r="C132" s="2" t="s">
        <v>32</v>
      </c>
      <c r="D132" s="2" t="s">
        <v>32</v>
      </c>
    </row>
    <row r="133">
      <c r="A133" s="2">
        <v>1176.0</v>
      </c>
      <c r="B133" s="8" t="s">
        <v>77</v>
      </c>
      <c r="C133" s="2" t="s">
        <v>32</v>
      </c>
      <c r="D133" s="2" t="s">
        <v>32</v>
      </c>
    </row>
    <row r="135">
      <c r="A135" s="2" t="s">
        <v>676</v>
      </c>
    </row>
    <row r="136">
      <c r="A136" s="2" t="s">
        <v>677</v>
      </c>
    </row>
    <row r="138">
      <c r="A138" s="11">
        <v>1037.0</v>
      </c>
      <c r="B138" s="12" t="s">
        <v>34</v>
      </c>
      <c r="C138" s="2"/>
      <c r="D138" s="2" t="s">
        <v>32</v>
      </c>
      <c r="E138" s="2"/>
    </row>
    <row r="139">
      <c r="A139" s="11">
        <v>109.0</v>
      </c>
      <c r="B139" s="12" t="s">
        <v>47</v>
      </c>
      <c r="C139" s="2"/>
      <c r="D139" s="2" t="s">
        <v>32</v>
      </c>
      <c r="E139" s="2"/>
    </row>
    <row r="140">
      <c r="A140" s="11">
        <v>1129.0</v>
      </c>
      <c r="B140" s="12" t="s">
        <v>54</v>
      </c>
      <c r="C140" s="2"/>
      <c r="D140" s="2" t="s">
        <v>32</v>
      </c>
      <c r="E140" s="2"/>
    </row>
    <row r="141">
      <c r="A141" s="11">
        <v>1136.0</v>
      </c>
      <c r="B141" s="12" t="s">
        <v>59</v>
      </c>
      <c r="C141" s="2" t="s">
        <v>32</v>
      </c>
      <c r="D141" s="2" t="s">
        <v>32</v>
      </c>
      <c r="E141" s="2" t="s">
        <v>32</v>
      </c>
    </row>
    <row r="142">
      <c r="A142" s="11">
        <v>1197.0</v>
      </c>
      <c r="B142" s="12" t="s">
        <v>62</v>
      </c>
      <c r="C142" s="2" t="s">
        <v>32</v>
      </c>
      <c r="D142" s="2" t="s">
        <v>32</v>
      </c>
      <c r="E142" s="2" t="s">
        <v>32</v>
      </c>
    </row>
    <row r="143">
      <c r="A143" s="11">
        <v>121.0</v>
      </c>
      <c r="B143" s="12" t="s">
        <v>68</v>
      </c>
      <c r="C143" s="2" t="s">
        <v>32</v>
      </c>
      <c r="D143" s="2" t="s">
        <v>32</v>
      </c>
      <c r="E143" s="2" t="s">
        <v>32</v>
      </c>
    </row>
    <row r="144">
      <c r="A144" s="11">
        <v>1222.0</v>
      </c>
      <c r="B144" s="12" t="s">
        <v>74</v>
      </c>
      <c r="C144" s="2" t="s">
        <v>32</v>
      </c>
      <c r="D144" s="2" t="s">
        <v>32</v>
      </c>
      <c r="E144" s="2" t="s">
        <v>32</v>
      </c>
    </row>
    <row r="145">
      <c r="A145" s="11">
        <v>1277.0</v>
      </c>
      <c r="B145" s="12" t="s">
        <v>79</v>
      </c>
      <c r="C145" s="2" t="s">
        <v>32</v>
      </c>
      <c r="D145" s="2" t="s">
        <v>32</v>
      </c>
      <c r="E145" s="2" t="s">
        <v>32</v>
      </c>
    </row>
    <row r="146">
      <c r="A146" s="11">
        <v>1280.0</v>
      </c>
      <c r="B146" s="12" t="s">
        <v>81</v>
      </c>
      <c r="C146" s="2" t="s">
        <v>32</v>
      </c>
      <c r="D146" s="2" t="s">
        <v>32</v>
      </c>
      <c r="E146" s="2" t="s">
        <v>32</v>
      </c>
    </row>
    <row r="147">
      <c r="A147" s="11">
        <v>137.0</v>
      </c>
      <c r="B147" s="12" t="s">
        <v>88</v>
      </c>
      <c r="C147" s="2"/>
      <c r="D147" s="2" t="s">
        <v>32</v>
      </c>
      <c r="E147" s="2"/>
    </row>
    <row r="148">
      <c r="A148" s="11">
        <v>1437.0</v>
      </c>
      <c r="B148" s="12" t="s">
        <v>106</v>
      </c>
      <c r="C148" s="2"/>
      <c r="D148" s="2" t="s">
        <v>32</v>
      </c>
      <c r="E148" s="2"/>
    </row>
    <row r="149">
      <c r="A149" s="11">
        <v>1439.0</v>
      </c>
      <c r="B149" s="12" t="s">
        <v>130</v>
      </c>
      <c r="C149" s="2" t="s">
        <v>32</v>
      </c>
      <c r="D149" s="2" t="s">
        <v>32</v>
      </c>
      <c r="E149" s="2" t="s">
        <v>32</v>
      </c>
    </row>
    <row r="150">
      <c r="A150" s="11">
        <v>1445.0</v>
      </c>
      <c r="B150" s="12" t="s">
        <v>141</v>
      </c>
      <c r="C150" s="2"/>
      <c r="D150" s="2" t="s">
        <v>32</v>
      </c>
      <c r="E150" s="2"/>
    </row>
    <row r="151">
      <c r="A151" s="11">
        <v>1455.0</v>
      </c>
      <c r="B151" s="12" t="s">
        <v>153</v>
      </c>
      <c r="C151" s="2"/>
      <c r="D151" s="2" t="s">
        <v>32</v>
      </c>
      <c r="E151" s="2"/>
    </row>
    <row r="152">
      <c r="A152" s="11">
        <v>149.0</v>
      </c>
      <c r="B152" s="12" t="s">
        <v>170</v>
      </c>
      <c r="C152" s="2"/>
      <c r="D152" s="2" t="s">
        <v>32</v>
      </c>
      <c r="E152" s="2"/>
    </row>
    <row r="153">
      <c r="A153" s="11">
        <v>1511.0</v>
      </c>
      <c r="B153" s="12" t="s">
        <v>184</v>
      </c>
      <c r="C153" s="2"/>
      <c r="D153" s="2" t="s">
        <v>32</v>
      </c>
      <c r="E153" s="2"/>
    </row>
    <row r="154">
      <c r="A154" s="11">
        <v>1583.0</v>
      </c>
      <c r="B154" s="12" t="s">
        <v>192</v>
      </c>
      <c r="C154" s="2"/>
      <c r="D154" s="2" t="s">
        <v>32</v>
      </c>
      <c r="E154" s="2"/>
    </row>
    <row r="155">
      <c r="A155" s="11">
        <v>1675.0</v>
      </c>
      <c r="B155" s="12" t="s">
        <v>202</v>
      </c>
      <c r="C155" s="2" t="s">
        <v>32</v>
      </c>
      <c r="D155" s="2" t="s">
        <v>32</v>
      </c>
      <c r="E155" s="2" t="s">
        <v>32</v>
      </c>
    </row>
    <row r="156">
      <c r="A156" s="11">
        <v>169.0</v>
      </c>
      <c r="B156" s="12" t="s">
        <v>211</v>
      </c>
      <c r="C156" s="2" t="s">
        <v>32</v>
      </c>
      <c r="D156" s="2" t="s">
        <v>32</v>
      </c>
      <c r="E156" s="2" t="s">
        <v>32</v>
      </c>
    </row>
    <row r="157">
      <c r="A157" s="11">
        <v>174.0</v>
      </c>
      <c r="B157" s="12" t="s">
        <v>234</v>
      </c>
      <c r="C157" s="2"/>
      <c r="D157" s="2" t="s">
        <v>32</v>
      </c>
      <c r="E157" s="2"/>
    </row>
    <row r="158">
      <c r="A158" s="11">
        <v>177.0</v>
      </c>
      <c r="B158" s="12" t="s">
        <v>263</v>
      </c>
      <c r="C158" s="2"/>
      <c r="D158" s="2" t="s">
        <v>32</v>
      </c>
      <c r="E158" s="2"/>
    </row>
    <row r="159">
      <c r="A159" s="11">
        <v>1851.0</v>
      </c>
      <c r="B159" s="12" t="s">
        <v>277</v>
      </c>
      <c r="C159" s="2"/>
      <c r="D159" s="2" t="s">
        <v>32</v>
      </c>
      <c r="E159" s="2"/>
    </row>
    <row r="160">
      <c r="A160" s="11">
        <v>1886.0</v>
      </c>
      <c r="B160" s="12" t="s">
        <v>288</v>
      </c>
      <c r="C160" s="2"/>
      <c r="D160" s="2" t="s">
        <v>32</v>
      </c>
      <c r="E160" s="2"/>
    </row>
    <row r="161">
      <c r="A161" s="11">
        <v>1887.0</v>
      </c>
      <c r="B161" s="12" t="s">
        <v>300</v>
      </c>
      <c r="C161" s="2"/>
      <c r="D161" s="2" t="s">
        <v>41</v>
      </c>
      <c r="E161" s="2"/>
    </row>
    <row r="162">
      <c r="A162" s="11">
        <v>209.0</v>
      </c>
      <c r="B162" s="12" t="s">
        <v>312</v>
      </c>
      <c r="C162" s="2" t="s">
        <v>32</v>
      </c>
      <c r="D162" s="2" t="s">
        <v>32</v>
      </c>
      <c r="E162" s="2" t="s">
        <v>32</v>
      </c>
    </row>
    <row r="163">
      <c r="A163" s="11">
        <v>2390.0</v>
      </c>
      <c r="B163" s="12" t="s">
        <v>324</v>
      </c>
      <c r="C163" s="2"/>
      <c r="D163" s="2" t="s">
        <v>32</v>
      </c>
      <c r="E163" s="2"/>
    </row>
    <row r="164">
      <c r="A164" s="11">
        <v>255.0</v>
      </c>
      <c r="B164" s="12" t="s">
        <v>336</v>
      </c>
      <c r="C164" s="2"/>
      <c r="D164" s="2" t="s">
        <v>32</v>
      </c>
      <c r="E164" s="2"/>
    </row>
    <row r="165">
      <c r="A165" s="11">
        <v>256.0</v>
      </c>
      <c r="B165" s="12" t="s">
        <v>352</v>
      </c>
      <c r="C165" s="2"/>
      <c r="D165" s="2" t="s">
        <v>32</v>
      </c>
      <c r="E165" s="2"/>
    </row>
    <row r="166">
      <c r="A166" s="11">
        <v>259.0</v>
      </c>
      <c r="B166" s="12" t="s">
        <v>366</v>
      </c>
      <c r="C166" s="2"/>
      <c r="D166" s="2" t="s">
        <v>32</v>
      </c>
      <c r="E166" s="2"/>
    </row>
    <row r="167">
      <c r="A167" s="11">
        <v>273.0</v>
      </c>
      <c r="B167" s="12" t="s">
        <v>383</v>
      </c>
      <c r="C167" s="2"/>
      <c r="D167" s="2" t="s">
        <v>32</v>
      </c>
      <c r="E167" s="2"/>
    </row>
    <row r="168">
      <c r="A168" s="11">
        <v>288.0</v>
      </c>
      <c r="B168" s="12" t="s">
        <v>388</v>
      </c>
      <c r="C168" s="2"/>
      <c r="D168" s="2" t="s">
        <v>32</v>
      </c>
      <c r="E168" s="2"/>
    </row>
    <row r="169">
      <c r="A169" s="11">
        <v>29.0</v>
      </c>
      <c r="B169" s="12" t="s">
        <v>397</v>
      </c>
      <c r="C169" s="2" t="s">
        <v>32</v>
      </c>
      <c r="D169" s="2" t="s">
        <v>32</v>
      </c>
      <c r="E169" s="2" t="s">
        <v>32</v>
      </c>
    </row>
    <row r="170">
      <c r="A170" s="11">
        <v>313.0</v>
      </c>
      <c r="B170" s="12" t="s">
        <v>414</v>
      </c>
      <c r="C170" s="2"/>
      <c r="D170" s="2" t="s">
        <v>41</v>
      </c>
      <c r="E170" s="2"/>
    </row>
    <row r="171">
      <c r="A171" s="11">
        <v>325.0</v>
      </c>
      <c r="B171" s="12" t="s">
        <v>423</v>
      </c>
      <c r="C171" s="2"/>
      <c r="D171" s="2" t="s">
        <v>32</v>
      </c>
      <c r="E171" s="2"/>
    </row>
    <row r="172">
      <c r="A172" s="11">
        <v>33.0</v>
      </c>
      <c r="B172" s="12" t="s">
        <v>440</v>
      </c>
      <c r="C172" s="2"/>
      <c r="D172" s="2" t="s">
        <v>32</v>
      </c>
      <c r="E172" s="2"/>
    </row>
    <row r="173">
      <c r="A173" s="11">
        <v>33.0</v>
      </c>
      <c r="B173" s="12" t="s">
        <v>461</v>
      </c>
      <c r="C173" s="2" t="s">
        <v>32</v>
      </c>
      <c r="D173" s="2" t="s">
        <v>32</v>
      </c>
      <c r="E173" s="2" t="s">
        <v>32</v>
      </c>
    </row>
    <row r="174">
      <c r="A174" s="11">
        <v>388.0</v>
      </c>
      <c r="B174" s="12" t="s">
        <v>479</v>
      </c>
      <c r="C174" s="2" t="s">
        <v>32</v>
      </c>
      <c r="D174" s="2" t="s">
        <v>32</v>
      </c>
      <c r="E174" s="2" t="s">
        <v>32</v>
      </c>
    </row>
    <row r="175">
      <c r="A175" s="11">
        <v>3979.0</v>
      </c>
      <c r="B175" s="12" t="s">
        <v>496</v>
      </c>
      <c r="C175" s="2"/>
      <c r="D175" s="2" t="s">
        <v>32</v>
      </c>
      <c r="E175" s="2"/>
    </row>
    <row r="176">
      <c r="A176" s="11">
        <v>3988.0</v>
      </c>
      <c r="B176" s="12" t="s">
        <v>507</v>
      </c>
      <c r="C176" s="2"/>
      <c r="D176" s="2" t="s">
        <v>32</v>
      </c>
      <c r="E176" s="2"/>
    </row>
    <row r="177">
      <c r="A177" s="11">
        <v>40.0</v>
      </c>
      <c r="B177" s="12" t="s">
        <v>518</v>
      </c>
      <c r="C177" s="2"/>
      <c r="D177" s="2" t="s">
        <v>32</v>
      </c>
      <c r="E177" s="2"/>
    </row>
    <row r="178">
      <c r="A178" s="11">
        <v>4072.0</v>
      </c>
      <c r="B178" s="12" t="s">
        <v>529</v>
      </c>
      <c r="C178" s="2"/>
      <c r="D178" s="2" t="s">
        <v>32</v>
      </c>
      <c r="E178" s="2"/>
    </row>
    <row r="179">
      <c r="A179" s="11">
        <v>4109.0</v>
      </c>
      <c r="B179" s="12" t="s">
        <v>540</v>
      </c>
      <c r="C179" s="2" t="s">
        <v>32</v>
      </c>
      <c r="D179" s="2" t="s">
        <v>32</v>
      </c>
      <c r="E179" s="2" t="s">
        <v>32</v>
      </c>
    </row>
    <row r="180">
      <c r="A180" s="11">
        <v>411.0</v>
      </c>
      <c r="B180" s="12" t="s">
        <v>550</v>
      </c>
      <c r="C180" s="2" t="s">
        <v>32</v>
      </c>
      <c r="D180" s="2" t="s">
        <v>32</v>
      </c>
      <c r="E180" s="2" t="s">
        <v>32</v>
      </c>
    </row>
    <row r="181">
      <c r="A181" s="11">
        <v>4229.0</v>
      </c>
      <c r="B181" s="12" t="s">
        <v>558</v>
      </c>
      <c r="C181" s="2"/>
      <c r="D181" s="2" t="s">
        <v>32</v>
      </c>
      <c r="E181" s="2"/>
    </row>
    <row r="182">
      <c r="A182" s="11">
        <v>429.0</v>
      </c>
      <c r="B182" s="12" t="s">
        <v>568</v>
      </c>
      <c r="C182" s="2"/>
      <c r="D182" s="2" t="s">
        <v>32</v>
      </c>
      <c r="E182" s="2"/>
    </row>
    <row r="183">
      <c r="A183" s="11">
        <v>441.0</v>
      </c>
      <c r="B183" s="12" t="s">
        <v>575</v>
      </c>
      <c r="C183" s="2"/>
      <c r="D183" s="2" t="s">
        <v>32</v>
      </c>
      <c r="E183" s="2"/>
    </row>
    <row r="184">
      <c r="A184" s="11">
        <v>4543.0</v>
      </c>
      <c r="B184" s="12" t="s">
        <v>587</v>
      </c>
      <c r="C184" s="2"/>
      <c r="D184" s="2" t="s">
        <v>32</v>
      </c>
      <c r="E184" s="2"/>
    </row>
    <row r="185">
      <c r="A185" s="11">
        <v>4841.0</v>
      </c>
      <c r="B185" s="12" t="s">
        <v>594</v>
      </c>
      <c r="C185" s="2"/>
      <c r="D185" s="2" t="s">
        <v>32</v>
      </c>
      <c r="E185" s="2"/>
    </row>
    <row r="186">
      <c r="A186" s="11">
        <v>513.0</v>
      </c>
      <c r="B186" s="12" t="s">
        <v>601</v>
      </c>
      <c r="C186" s="2"/>
      <c r="D186" s="2" t="s">
        <v>41</v>
      </c>
      <c r="E186" s="2"/>
    </row>
    <row r="187">
      <c r="A187" s="11">
        <v>5557.0</v>
      </c>
      <c r="B187" s="12" t="s">
        <v>609</v>
      </c>
      <c r="C187" s="2"/>
      <c r="D187" s="2" t="s">
        <v>41</v>
      </c>
      <c r="E187" s="2"/>
    </row>
    <row r="188">
      <c r="A188" s="11">
        <v>56.0</v>
      </c>
      <c r="B188" s="12" t="s">
        <v>614</v>
      </c>
      <c r="C188" s="2"/>
      <c r="D188" s="2" t="s">
        <v>32</v>
      </c>
      <c r="E188" s="2"/>
    </row>
    <row r="189">
      <c r="A189" s="11">
        <v>5700.0</v>
      </c>
      <c r="B189" s="12" t="s">
        <v>617</v>
      </c>
      <c r="C189" s="2" t="s">
        <v>32</v>
      </c>
      <c r="D189" s="2" t="s">
        <v>32</v>
      </c>
      <c r="E189" s="2" t="s">
        <v>32</v>
      </c>
    </row>
    <row r="190">
      <c r="A190" s="11">
        <v>5739.0</v>
      </c>
      <c r="B190" s="12" t="s">
        <v>620</v>
      </c>
      <c r="C190" s="2"/>
      <c r="D190" s="2" t="s">
        <v>32</v>
      </c>
      <c r="E190" s="2"/>
    </row>
    <row r="191">
      <c r="A191" s="11">
        <v>5741.0</v>
      </c>
      <c r="B191" s="12" t="s">
        <v>623</v>
      </c>
      <c r="C191" s="2"/>
      <c r="D191" s="2" t="s">
        <v>32</v>
      </c>
      <c r="E191" s="2"/>
    </row>
    <row r="192">
      <c r="A192" s="11">
        <v>5769.0</v>
      </c>
      <c r="B192" s="12" t="s">
        <v>625</v>
      </c>
      <c r="C192" s="2"/>
      <c r="D192" s="2" t="s">
        <v>41</v>
      </c>
      <c r="E192" s="2"/>
    </row>
    <row r="193">
      <c r="A193" s="11">
        <v>5784.0</v>
      </c>
      <c r="B193" s="12" t="s">
        <v>631</v>
      </c>
      <c r="C193" s="2" t="s">
        <v>32</v>
      </c>
      <c r="D193" s="2" t="s">
        <v>32</v>
      </c>
      <c r="E193" s="2" t="s">
        <v>32</v>
      </c>
    </row>
    <row r="194">
      <c r="A194" s="11">
        <v>5787.0</v>
      </c>
      <c r="B194" s="12" t="s">
        <v>634</v>
      </c>
      <c r="C194" s="2" t="s">
        <v>32</v>
      </c>
      <c r="D194" s="2" t="s">
        <v>32</v>
      </c>
      <c r="E194" s="2" t="s">
        <v>32</v>
      </c>
    </row>
    <row r="195">
      <c r="A195" s="11">
        <v>6050.0</v>
      </c>
      <c r="B195" s="12" t="s">
        <v>641</v>
      </c>
      <c r="C195" s="2" t="s">
        <v>32</v>
      </c>
      <c r="D195" s="2" t="s">
        <v>32</v>
      </c>
      <c r="E195" s="2" t="s">
        <v>32</v>
      </c>
    </row>
    <row r="196">
      <c r="A196" s="11">
        <v>6072.0</v>
      </c>
      <c r="B196" s="12" t="s">
        <v>652</v>
      </c>
      <c r="C196" s="2"/>
      <c r="D196" s="2" t="s">
        <v>32</v>
      </c>
      <c r="E196" s="2"/>
    </row>
    <row r="197">
      <c r="A197" s="11">
        <v>6212.0</v>
      </c>
      <c r="B197" s="12" t="s">
        <v>655</v>
      </c>
      <c r="C197" s="2"/>
      <c r="D197" s="2" t="s">
        <v>32</v>
      </c>
      <c r="E197" s="2"/>
    </row>
    <row r="198">
      <c r="A198" s="11">
        <v>6302.0</v>
      </c>
      <c r="B198" s="12" t="s">
        <v>657</v>
      </c>
      <c r="C198" s="2"/>
      <c r="D198" s="2" t="s">
        <v>32</v>
      </c>
      <c r="E198" s="2"/>
    </row>
    <row r="199">
      <c r="A199" s="11">
        <v>6409.0</v>
      </c>
      <c r="B199" s="12" t="s">
        <v>663</v>
      </c>
      <c r="C199" s="2"/>
      <c r="D199" s="2" t="s">
        <v>32</v>
      </c>
      <c r="E199" s="2"/>
    </row>
    <row r="200">
      <c r="A200" s="11">
        <v>6465.0</v>
      </c>
      <c r="B200" s="12" t="s">
        <v>670</v>
      </c>
      <c r="C200" s="2"/>
      <c r="D200" s="2" t="s">
        <v>32</v>
      </c>
      <c r="E200" s="2"/>
    </row>
    <row r="201">
      <c r="A201" s="11">
        <v>6585.0</v>
      </c>
      <c r="B201" s="12" t="s">
        <v>672</v>
      </c>
      <c r="C201" s="2" t="s">
        <v>32</v>
      </c>
      <c r="D201" s="2" t="s">
        <v>32</v>
      </c>
      <c r="E201" s="2" t="s">
        <v>32</v>
      </c>
    </row>
    <row r="202">
      <c r="A202" s="11">
        <v>66.0</v>
      </c>
      <c r="B202" s="12" t="s">
        <v>675</v>
      </c>
      <c r="C202" s="2"/>
      <c r="D202" s="2" t="s">
        <v>32</v>
      </c>
      <c r="E202" s="2"/>
    </row>
    <row r="203">
      <c r="A203" s="11">
        <v>682.0</v>
      </c>
      <c r="B203" s="12" t="s">
        <v>678</v>
      </c>
      <c r="C203" s="2"/>
      <c r="D203" s="2" t="s">
        <v>32</v>
      </c>
      <c r="E203" s="2"/>
    </row>
    <row r="204">
      <c r="A204" s="11">
        <v>70.0</v>
      </c>
      <c r="B204" s="12" t="s">
        <v>679</v>
      </c>
      <c r="C204" s="2" t="s">
        <v>41</v>
      </c>
      <c r="D204" s="2" t="s">
        <v>41</v>
      </c>
      <c r="E204" s="2" t="s">
        <v>41</v>
      </c>
    </row>
    <row r="205">
      <c r="A205" s="11">
        <v>700.0</v>
      </c>
      <c r="B205" s="12" t="s">
        <v>682</v>
      </c>
      <c r="C205" s="2"/>
      <c r="D205" s="2" t="s">
        <v>32</v>
      </c>
      <c r="E205" s="2"/>
    </row>
    <row r="206">
      <c r="A206" s="11">
        <v>71.0</v>
      </c>
      <c r="B206" s="12" t="s">
        <v>685</v>
      </c>
      <c r="C206" s="2" t="s">
        <v>32</v>
      </c>
      <c r="D206" s="2" t="s">
        <v>32</v>
      </c>
      <c r="E206" s="2" t="s">
        <v>41</v>
      </c>
    </row>
    <row r="207">
      <c r="A207" s="11">
        <v>768.0</v>
      </c>
      <c r="B207" s="12" t="s">
        <v>689</v>
      </c>
      <c r="C207" s="2"/>
      <c r="D207" s="2" t="s">
        <v>32</v>
      </c>
      <c r="E207" s="2"/>
    </row>
    <row r="208">
      <c r="A208" s="11">
        <v>793.0</v>
      </c>
      <c r="B208" s="12" t="s">
        <v>690</v>
      </c>
      <c r="C208" s="2"/>
      <c r="D208" s="2" t="s">
        <v>32</v>
      </c>
      <c r="E208" s="2"/>
    </row>
    <row r="209">
      <c r="A209" s="11">
        <v>83.0</v>
      </c>
      <c r="B209" s="12" t="s">
        <v>699</v>
      </c>
      <c r="C209" s="2" t="s">
        <v>32</v>
      </c>
      <c r="D209" s="2" t="s">
        <v>32</v>
      </c>
      <c r="E209" s="2" t="s">
        <v>32</v>
      </c>
    </row>
    <row r="210">
      <c r="A210" s="11">
        <v>87.0</v>
      </c>
      <c r="B210" s="12" t="s">
        <v>700</v>
      </c>
      <c r="C210" s="2"/>
      <c r="D210" s="2" t="s">
        <v>32</v>
      </c>
      <c r="E210" s="2"/>
    </row>
    <row r="211">
      <c r="A211" s="11">
        <v>878.0</v>
      </c>
      <c r="B211" s="12" t="s">
        <v>701</v>
      </c>
      <c r="C211" s="2"/>
      <c r="D211" s="2" t="s">
        <v>32</v>
      </c>
      <c r="E211" s="2"/>
    </row>
    <row r="212">
      <c r="A212" s="11">
        <v>91.0</v>
      </c>
      <c r="B212" s="12" t="s">
        <v>703</v>
      </c>
      <c r="C212" s="2"/>
      <c r="D212" s="2" t="s">
        <v>32</v>
      </c>
      <c r="E212" s="2"/>
    </row>
    <row r="213">
      <c r="A213" s="11">
        <v>921.0</v>
      </c>
      <c r="B213" s="12" t="s">
        <v>704</v>
      </c>
      <c r="C213" s="2"/>
      <c r="D213" s="2" t="s">
        <v>32</v>
      </c>
      <c r="E213" s="2"/>
    </row>
    <row r="214">
      <c r="A214" s="11">
        <v>923.0</v>
      </c>
      <c r="B214" s="12" t="s">
        <v>714</v>
      </c>
      <c r="C214" s="2"/>
      <c r="D214" s="2" t="s">
        <v>32</v>
      </c>
      <c r="E214" s="2"/>
    </row>
    <row r="215">
      <c r="A215" s="11">
        <v>928.0</v>
      </c>
      <c r="B215" s="12" t="s">
        <v>715</v>
      </c>
      <c r="C215" s="2"/>
      <c r="D215" s="2" t="s">
        <v>32</v>
      </c>
      <c r="E215" s="2"/>
    </row>
    <row r="216">
      <c r="A216" s="11">
        <v>942.0</v>
      </c>
      <c r="B216" s="12" t="s">
        <v>716</v>
      </c>
      <c r="C216" s="2"/>
      <c r="D216" s="2" t="s">
        <v>32</v>
      </c>
      <c r="E216" s="2"/>
    </row>
    <row r="217">
      <c r="A217" s="11">
        <v>974.0</v>
      </c>
      <c r="B217" s="12" t="s">
        <v>717</v>
      </c>
      <c r="C217" s="2" t="s">
        <v>32</v>
      </c>
      <c r="D217" s="2" t="s">
        <v>32</v>
      </c>
      <c r="E217" s="2" t="s">
        <v>32</v>
      </c>
    </row>
    <row r="218">
      <c r="A218" s="11">
        <v>1016.0</v>
      </c>
      <c r="B218" s="12" t="s">
        <v>718</v>
      </c>
      <c r="C218" s="2"/>
      <c r="D218" s="2" t="s">
        <v>32</v>
      </c>
      <c r="E218" s="2"/>
    </row>
    <row r="219">
      <c r="A219" s="11">
        <v>1059.0</v>
      </c>
      <c r="B219" s="12" t="s">
        <v>719</v>
      </c>
      <c r="C219" s="2"/>
      <c r="D219" s="2" t="s">
        <v>32</v>
      </c>
      <c r="E219" s="2"/>
    </row>
    <row r="220">
      <c r="A220" s="11">
        <v>1112.0</v>
      </c>
      <c r="B220" s="12" t="s">
        <v>720</v>
      </c>
      <c r="C220" s="2" t="s">
        <v>32</v>
      </c>
      <c r="D220" s="2" t="s">
        <v>32</v>
      </c>
      <c r="E220" s="2" t="s">
        <v>32</v>
      </c>
    </row>
    <row r="221">
      <c r="A221" s="11">
        <v>1115.0</v>
      </c>
      <c r="B221" s="12" t="s">
        <v>721</v>
      </c>
      <c r="C221" s="2" t="s">
        <v>32</v>
      </c>
      <c r="D221" s="2" t="s">
        <v>32</v>
      </c>
      <c r="E221" s="2" t="s">
        <v>32</v>
      </c>
    </row>
    <row r="222">
      <c r="A222" s="11">
        <v>1148.0</v>
      </c>
      <c r="B222" s="12" t="s">
        <v>722</v>
      </c>
      <c r="C222" s="2"/>
      <c r="D222" s="2" t="s">
        <v>32</v>
      </c>
      <c r="E222" s="2"/>
    </row>
    <row r="223">
      <c r="A223" s="11">
        <v>1174.0</v>
      </c>
      <c r="B223" s="12" t="s">
        <v>723</v>
      </c>
      <c r="C223" s="2"/>
      <c r="D223" s="2" t="s">
        <v>32</v>
      </c>
      <c r="E223" s="2"/>
    </row>
    <row r="224">
      <c r="A224" s="11">
        <v>1220.0</v>
      </c>
      <c r="B224" s="12" t="s">
        <v>724</v>
      </c>
      <c r="C224" s="2"/>
      <c r="D224" s="2" t="s">
        <v>32</v>
      </c>
      <c r="E224" s="2"/>
    </row>
    <row r="225">
      <c r="A225" s="11">
        <v>1275.0</v>
      </c>
      <c r="B225" s="12" t="s">
        <v>725</v>
      </c>
      <c r="C225" s="2"/>
      <c r="D225" s="2" t="s">
        <v>32</v>
      </c>
      <c r="E225" s="2"/>
    </row>
    <row r="226">
      <c r="A226" s="11">
        <v>1327.0</v>
      </c>
      <c r="B226" s="12" t="s">
        <v>726</v>
      </c>
      <c r="C226" s="2"/>
      <c r="D226" s="2" t="s">
        <v>32</v>
      </c>
      <c r="E226" s="2"/>
    </row>
    <row r="227">
      <c r="A227" s="11">
        <v>1430.0</v>
      </c>
      <c r="B227" s="12" t="s">
        <v>727</v>
      </c>
      <c r="C227" s="2"/>
      <c r="D227" s="2" t="s">
        <v>32</v>
      </c>
      <c r="E227" s="2"/>
    </row>
    <row r="228">
      <c r="A228" s="11">
        <v>149.0</v>
      </c>
      <c r="B228" s="12" t="s">
        <v>729</v>
      </c>
      <c r="C228" s="2"/>
      <c r="D228" s="2" t="s">
        <v>32</v>
      </c>
      <c r="E228" s="2"/>
    </row>
    <row r="229">
      <c r="A229" s="11">
        <v>1539.0</v>
      </c>
      <c r="B229" s="12" t="s">
        <v>730</v>
      </c>
      <c r="C229" s="2"/>
      <c r="D229" s="2" t="s">
        <v>32</v>
      </c>
      <c r="E229" s="2"/>
    </row>
    <row r="230">
      <c r="A230" s="11">
        <v>160.0</v>
      </c>
      <c r="B230" s="12" t="s">
        <v>732</v>
      </c>
      <c r="C230" s="2"/>
      <c r="D230" s="2" t="s">
        <v>32</v>
      </c>
      <c r="E230" s="2"/>
    </row>
    <row r="231">
      <c r="A231" s="11">
        <v>166.0</v>
      </c>
      <c r="B231" s="12" t="s">
        <v>733</v>
      </c>
      <c r="C231" s="2" t="s">
        <v>32</v>
      </c>
      <c r="D231" s="2" t="s">
        <v>32</v>
      </c>
      <c r="E231" s="2" t="s">
        <v>32</v>
      </c>
    </row>
    <row r="232">
      <c r="A232" s="11">
        <v>184.0</v>
      </c>
      <c r="B232" s="12" t="s">
        <v>734</v>
      </c>
      <c r="C232" s="2"/>
      <c r="D232" s="2" t="s">
        <v>41</v>
      </c>
      <c r="E232" s="2"/>
    </row>
    <row r="233">
      <c r="A233" s="11">
        <v>211.0</v>
      </c>
      <c r="B233" s="12" t="s">
        <v>735</v>
      </c>
      <c r="C233" s="2"/>
      <c r="D233" s="2" t="s">
        <v>32</v>
      </c>
      <c r="E233" s="2"/>
    </row>
    <row r="234">
      <c r="A234" s="11">
        <v>220.0</v>
      </c>
      <c r="B234" s="12" t="s">
        <v>736</v>
      </c>
      <c r="C234" s="2"/>
      <c r="D234" s="2" t="s">
        <v>32</v>
      </c>
      <c r="E234" s="2"/>
    </row>
    <row r="235">
      <c r="A235" s="11">
        <v>245.0</v>
      </c>
      <c r="B235" s="12" t="s">
        <v>737</v>
      </c>
      <c r="C235" s="2"/>
      <c r="D235" s="2" t="s">
        <v>32</v>
      </c>
      <c r="E235" s="2"/>
    </row>
    <row r="236">
      <c r="A236" s="11">
        <v>253.0</v>
      </c>
      <c r="B236" s="12" t="s">
        <v>738</v>
      </c>
      <c r="C236" s="2"/>
      <c r="D236" s="2" t="s">
        <v>32</v>
      </c>
      <c r="E236" s="2"/>
    </row>
    <row r="237">
      <c r="A237" s="11">
        <v>259.0</v>
      </c>
      <c r="B237" s="12" t="s">
        <v>739</v>
      </c>
      <c r="C237" s="2"/>
      <c r="D237" s="2" t="s">
        <v>32</v>
      </c>
      <c r="E237" s="2"/>
    </row>
    <row r="238">
      <c r="A238" s="11">
        <v>2598.0</v>
      </c>
      <c r="B238" s="12" t="s">
        <v>740</v>
      </c>
      <c r="C238" s="2"/>
      <c r="D238" s="2" t="s">
        <v>32</v>
      </c>
      <c r="E238" s="2"/>
    </row>
    <row r="239">
      <c r="A239" s="11">
        <v>266.0</v>
      </c>
      <c r="B239" s="12" t="s">
        <v>742</v>
      </c>
      <c r="C239" s="2" t="s">
        <v>32</v>
      </c>
      <c r="D239" s="2" t="s">
        <v>32</v>
      </c>
      <c r="E239" s="2" t="s">
        <v>32</v>
      </c>
    </row>
    <row r="240">
      <c r="A240" s="11">
        <v>270.0</v>
      </c>
      <c r="B240" s="12" t="s">
        <v>749</v>
      </c>
      <c r="C240" s="2" t="s">
        <v>32</v>
      </c>
      <c r="D240" s="2" t="s">
        <v>32</v>
      </c>
      <c r="E240" s="2" t="s">
        <v>32</v>
      </c>
    </row>
    <row r="241">
      <c r="A241" s="11">
        <v>2864.0</v>
      </c>
      <c r="B241" s="12" t="s">
        <v>761</v>
      </c>
      <c r="C241" s="2"/>
      <c r="D241" s="2" t="s">
        <v>32</v>
      </c>
      <c r="E241" s="2"/>
    </row>
    <row r="242">
      <c r="A242" s="11">
        <v>298.0</v>
      </c>
      <c r="B242" s="12" t="s">
        <v>770</v>
      </c>
      <c r="C242" s="2" t="s">
        <v>32</v>
      </c>
      <c r="D242" s="2" t="s">
        <v>32</v>
      </c>
      <c r="E242" s="2" t="s">
        <v>32</v>
      </c>
    </row>
    <row r="243">
      <c r="A243" s="11">
        <v>3005.0</v>
      </c>
      <c r="B243" s="12" t="s">
        <v>776</v>
      </c>
      <c r="C243" s="2"/>
      <c r="D243" s="2" t="s">
        <v>32</v>
      </c>
      <c r="E243" s="2"/>
    </row>
    <row r="244">
      <c r="A244" s="11">
        <v>302.0</v>
      </c>
      <c r="B244" s="12" t="s">
        <v>778</v>
      </c>
      <c r="C244" s="2"/>
      <c r="D244" s="2" t="s">
        <v>32</v>
      </c>
      <c r="E244" s="2"/>
    </row>
    <row r="245">
      <c r="A245" s="11">
        <v>322.0</v>
      </c>
      <c r="B245" s="12" t="s">
        <v>780</v>
      </c>
      <c r="C245" s="2" t="s">
        <v>32</v>
      </c>
      <c r="D245" s="2" t="s">
        <v>32</v>
      </c>
      <c r="E245" s="2" t="s">
        <v>32</v>
      </c>
    </row>
    <row r="246">
      <c r="A246" s="11">
        <v>3415.0</v>
      </c>
      <c r="B246" s="12" t="s">
        <v>782</v>
      </c>
      <c r="C246" s="2"/>
      <c r="D246" s="2" t="s">
        <v>32</v>
      </c>
      <c r="E246" s="2"/>
    </row>
    <row r="247">
      <c r="A247" s="11">
        <v>3584.0</v>
      </c>
      <c r="B247" s="12" t="s">
        <v>783</v>
      </c>
      <c r="C247" s="2"/>
      <c r="D247" s="2" t="s">
        <v>32</v>
      </c>
      <c r="E247" s="2"/>
    </row>
    <row r="248">
      <c r="A248" s="11">
        <v>3633.0</v>
      </c>
      <c r="B248" s="12" t="s">
        <v>784</v>
      </c>
      <c r="C248" s="2"/>
      <c r="D248" s="2" t="s">
        <v>32</v>
      </c>
      <c r="E248" s="2"/>
    </row>
    <row r="249">
      <c r="A249" s="11">
        <v>3662.0</v>
      </c>
      <c r="B249" s="12" t="s">
        <v>785</v>
      </c>
      <c r="C249" s="2"/>
      <c r="D249" s="2" t="s">
        <v>41</v>
      </c>
      <c r="E249" s="2"/>
    </row>
    <row r="250">
      <c r="A250" s="11">
        <v>3807.0</v>
      </c>
      <c r="B250" s="12" t="s">
        <v>787</v>
      </c>
      <c r="C250" s="2"/>
      <c r="D250" s="2" t="s">
        <v>32</v>
      </c>
      <c r="E250" s="2"/>
    </row>
    <row r="251">
      <c r="A251" s="11">
        <v>3836.0</v>
      </c>
      <c r="B251" s="12" t="s">
        <v>788</v>
      </c>
      <c r="C251" s="2"/>
      <c r="D251" s="2" t="s">
        <v>32</v>
      </c>
      <c r="E251" s="2"/>
    </row>
    <row r="252">
      <c r="A252" s="11">
        <v>4182.0</v>
      </c>
      <c r="B252" s="12" t="s">
        <v>789</v>
      </c>
      <c r="C252" s="2"/>
      <c r="D252" s="2" t="s">
        <v>32</v>
      </c>
      <c r="E252" s="2"/>
    </row>
    <row r="253">
      <c r="A253" s="11">
        <v>43.0</v>
      </c>
      <c r="B253" s="12" t="s">
        <v>790</v>
      </c>
      <c r="C253" s="2"/>
      <c r="D253" s="2" t="s">
        <v>32</v>
      </c>
      <c r="E253" s="2"/>
    </row>
    <row r="254">
      <c r="A254" s="11">
        <v>4334.0</v>
      </c>
      <c r="B254" s="12" t="s">
        <v>791</v>
      </c>
      <c r="C254" s="2"/>
      <c r="D254" s="2" t="s">
        <v>32</v>
      </c>
      <c r="E254" s="2"/>
    </row>
    <row r="255">
      <c r="A255" s="11">
        <v>442.0</v>
      </c>
      <c r="B255" s="12" t="s">
        <v>792</v>
      </c>
      <c r="C255" s="2"/>
      <c r="D255" s="2" t="s">
        <v>32</v>
      </c>
      <c r="E255" s="2"/>
    </row>
    <row r="256">
      <c r="A256" s="11">
        <v>4947.0</v>
      </c>
      <c r="B256" s="12" t="s">
        <v>793</v>
      </c>
      <c r="C256" s="2"/>
      <c r="D256" s="2" t="s">
        <v>32</v>
      </c>
      <c r="E256" s="2"/>
    </row>
    <row r="257">
      <c r="A257" s="11">
        <v>5178.0</v>
      </c>
      <c r="B257" s="12" t="s">
        <v>794</v>
      </c>
      <c r="C257" s="2"/>
      <c r="D257" s="2" t="s">
        <v>32</v>
      </c>
      <c r="E257" s="2"/>
    </row>
    <row r="258">
      <c r="A258" s="11">
        <v>5338.0</v>
      </c>
      <c r="B258" s="12" t="s">
        <v>795</v>
      </c>
      <c r="C258" s="2"/>
      <c r="D258" s="2" t="s">
        <v>32</v>
      </c>
      <c r="E258" s="2"/>
    </row>
    <row r="259">
      <c r="A259" s="11">
        <v>5343.0</v>
      </c>
      <c r="B259" s="12" t="s">
        <v>796</v>
      </c>
      <c r="C259" s="2"/>
      <c r="D259" s="2" t="s">
        <v>32</v>
      </c>
      <c r="E259" s="2"/>
    </row>
    <row r="260">
      <c r="A260" s="11">
        <v>536.0</v>
      </c>
      <c r="B260" s="12" t="s">
        <v>797</v>
      </c>
      <c r="C260" s="2"/>
      <c r="D260" s="2" t="s">
        <v>32</v>
      </c>
      <c r="E260" s="2"/>
    </row>
    <row r="261">
      <c r="A261" s="11">
        <v>5452.0</v>
      </c>
      <c r="B261" s="12" t="s">
        <v>798</v>
      </c>
      <c r="C261" s="2"/>
      <c r="D261" s="2" t="s">
        <v>32</v>
      </c>
      <c r="E261" s="2"/>
    </row>
    <row r="262">
      <c r="A262" s="11">
        <v>5489.0</v>
      </c>
      <c r="B262" s="12" t="s">
        <v>799</v>
      </c>
      <c r="C262" s="2"/>
      <c r="D262" s="2" t="s">
        <v>32</v>
      </c>
      <c r="E262" s="2"/>
    </row>
    <row r="263">
      <c r="A263" s="11">
        <v>5517.0</v>
      </c>
      <c r="B263" s="12" t="s">
        <v>800</v>
      </c>
      <c r="C263" s="2"/>
      <c r="D263" s="2" t="s">
        <v>32</v>
      </c>
      <c r="E263" s="2"/>
    </row>
    <row r="264">
      <c r="A264" s="11">
        <v>5616.0</v>
      </c>
      <c r="B264" s="12" t="s">
        <v>801</v>
      </c>
      <c r="C264" s="2"/>
      <c r="D264" s="2" t="s">
        <v>32</v>
      </c>
      <c r="E264" s="2"/>
    </row>
    <row r="265">
      <c r="A265" s="11">
        <v>5781.0</v>
      </c>
      <c r="B265" s="12" t="s">
        <v>803</v>
      </c>
      <c r="C265" s="2"/>
      <c r="D265" s="2" t="s">
        <v>32</v>
      </c>
      <c r="E265" s="2"/>
    </row>
    <row r="266">
      <c r="A266" s="11">
        <v>5950.0</v>
      </c>
      <c r="B266" s="12" t="s">
        <v>804</v>
      </c>
      <c r="C266" s="2"/>
      <c r="D266" s="2" t="s">
        <v>32</v>
      </c>
      <c r="E266" s="2"/>
    </row>
    <row r="267">
      <c r="A267" s="11">
        <v>596.0</v>
      </c>
      <c r="B267" s="12" t="s">
        <v>805</v>
      </c>
      <c r="C267" s="2" t="s">
        <v>32</v>
      </c>
      <c r="D267" s="2" t="s">
        <v>32</v>
      </c>
      <c r="E267" s="2" t="s">
        <v>32</v>
      </c>
    </row>
    <row r="268">
      <c r="A268" s="11">
        <v>610.0</v>
      </c>
      <c r="B268" s="12" t="s">
        <v>806</v>
      </c>
      <c r="C268" s="2"/>
      <c r="D268" s="2" t="s">
        <v>32</v>
      </c>
      <c r="E268" s="2"/>
    </row>
    <row r="269">
      <c r="A269" s="11">
        <v>650.0</v>
      </c>
      <c r="B269" s="12" t="s">
        <v>807</v>
      </c>
      <c r="C269" s="2"/>
      <c r="D269" s="2" t="s">
        <v>32</v>
      </c>
      <c r="E269" s="2"/>
    </row>
    <row r="270">
      <c r="A270" s="11">
        <v>665.0</v>
      </c>
      <c r="B270" s="12" t="s">
        <v>808</v>
      </c>
      <c r="C270" s="2"/>
      <c r="D270" s="2" t="s">
        <v>32</v>
      </c>
      <c r="E270" s="2"/>
    </row>
    <row r="271">
      <c r="A271" s="11">
        <v>6744.0</v>
      </c>
      <c r="B271" s="12" t="s">
        <v>809</v>
      </c>
      <c r="C271" s="2"/>
      <c r="D271" s="2" t="s">
        <v>32</v>
      </c>
      <c r="E271" s="2"/>
    </row>
    <row r="272">
      <c r="A272" s="11">
        <v>687.0</v>
      </c>
      <c r="B272" s="12" t="s">
        <v>810</v>
      </c>
      <c r="C272" s="2"/>
      <c r="D272" s="2" t="s">
        <v>32</v>
      </c>
      <c r="E272" s="2"/>
    </row>
    <row r="273">
      <c r="A273" s="11">
        <v>692.0</v>
      </c>
      <c r="B273" s="12" t="s">
        <v>811</v>
      </c>
      <c r="C273" s="2"/>
      <c r="D273" s="2" t="s">
        <v>32</v>
      </c>
      <c r="E273" s="2"/>
    </row>
    <row r="274">
      <c r="A274" s="11">
        <v>697.0</v>
      </c>
      <c r="B274" s="12" t="s">
        <v>812</v>
      </c>
      <c r="C274" s="2"/>
      <c r="D274" s="2" t="s">
        <v>32</v>
      </c>
      <c r="E274" s="2"/>
    </row>
    <row r="275">
      <c r="A275" s="11">
        <v>749.0</v>
      </c>
      <c r="B275" s="12" t="s">
        <v>813</v>
      </c>
      <c r="C275" s="2"/>
      <c r="D275" s="2" t="s">
        <v>32</v>
      </c>
      <c r="E275" s="2"/>
    </row>
    <row r="276">
      <c r="A276" s="11">
        <v>773.0</v>
      </c>
      <c r="B276" s="12" t="s">
        <v>814</v>
      </c>
      <c r="C276" s="2"/>
      <c r="D276" s="2" t="s">
        <v>32</v>
      </c>
      <c r="E276" s="2"/>
    </row>
    <row r="277">
      <c r="A277" s="11">
        <v>80.0</v>
      </c>
      <c r="B277" s="12" t="s">
        <v>815</v>
      </c>
      <c r="C277" s="2"/>
      <c r="D277" s="2" t="s">
        <v>32</v>
      </c>
      <c r="E277" s="2"/>
    </row>
    <row r="278">
      <c r="A278" s="11">
        <v>8226.0</v>
      </c>
      <c r="B278" s="12" t="s">
        <v>816</v>
      </c>
      <c r="C278" s="2"/>
      <c r="D278" s="2" t="s">
        <v>32</v>
      </c>
      <c r="E278" s="2"/>
    </row>
    <row r="279">
      <c r="A279" s="11">
        <v>8666.0</v>
      </c>
      <c r="B279" s="12" t="s">
        <v>817</v>
      </c>
      <c r="C279" s="2"/>
      <c r="D279" s="2" t="s">
        <v>32</v>
      </c>
      <c r="E279" s="2"/>
    </row>
    <row r="280">
      <c r="A280" s="11">
        <v>869.0</v>
      </c>
      <c r="B280" s="12" t="s">
        <v>818</v>
      </c>
      <c r="C280" s="2"/>
      <c r="D280" s="2" t="s">
        <v>32</v>
      </c>
      <c r="E280" s="2"/>
    </row>
    <row r="281">
      <c r="A281" s="11">
        <v>875.0</v>
      </c>
      <c r="B281" s="12" t="s">
        <v>819</v>
      </c>
      <c r="C281" s="2"/>
      <c r="D281" s="2" t="s">
        <v>41</v>
      </c>
      <c r="E281" s="2"/>
    </row>
    <row r="282">
      <c r="A282" s="11">
        <v>899.0</v>
      </c>
      <c r="B282" s="12" t="s">
        <v>820</v>
      </c>
      <c r="C282" s="2"/>
      <c r="D282" s="2" t="s">
        <v>32</v>
      </c>
      <c r="E282" s="2"/>
    </row>
    <row r="283">
      <c r="A283" s="11">
        <v>905.0</v>
      </c>
      <c r="B283" s="12" t="s">
        <v>821</v>
      </c>
      <c r="C283" s="2"/>
      <c r="D283" s="2" t="s">
        <v>32</v>
      </c>
      <c r="E283" s="2"/>
    </row>
    <row r="284">
      <c r="A284" s="11">
        <v>9409.0</v>
      </c>
      <c r="B284" s="12" t="s">
        <v>822</v>
      </c>
      <c r="C284" s="2"/>
      <c r="D284" s="2" t="s">
        <v>32</v>
      </c>
      <c r="E284" s="2"/>
    </row>
    <row r="285">
      <c r="A285" s="11">
        <v>959.0</v>
      </c>
      <c r="B285" s="12" t="s">
        <v>823</v>
      </c>
      <c r="C285" s="2"/>
      <c r="D285" s="2" t="s">
        <v>32</v>
      </c>
      <c r="E285" s="2"/>
    </row>
    <row r="286">
      <c r="A286" s="11">
        <v>962.0</v>
      </c>
      <c r="B286" s="12" t="s">
        <v>825</v>
      </c>
      <c r="C286" s="2" t="s">
        <v>32</v>
      </c>
      <c r="D286" s="2" t="s">
        <v>32</v>
      </c>
      <c r="E286" s="2" t="s">
        <v>32</v>
      </c>
    </row>
    <row r="287">
      <c r="A287" s="11">
        <v>979.0</v>
      </c>
      <c r="B287" s="12" t="s">
        <v>826</v>
      </c>
      <c r="C287" s="2"/>
      <c r="D287" s="2" t="s">
        <v>32</v>
      </c>
      <c r="E287" s="2"/>
    </row>
    <row r="288">
      <c r="A288" s="11">
        <v>1058.0</v>
      </c>
      <c r="B288" s="12" t="s">
        <v>827</v>
      </c>
      <c r="C288" s="2"/>
      <c r="D288" s="2" t="s">
        <v>32</v>
      </c>
      <c r="E288" s="2"/>
    </row>
    <row r="289">
      <c r="A289" s="11">
        <v>1110.0</v>
      </c>
      <c r="B289" s="12" t="s">
        <v>828</v>
      </c>
      <c r="C289" s="2"/>
      <c r="D289" s="2" t="s">
        <v>32</v>
      </c>
      <c r="E289" s="2"/>
    </row>
    <row r="290">
      <c r="A290" s="11">
        <v>1153.0</v>
      </c>
      <c r="B290" s="12" t="s">
        <v>829</v>
      </c>
      <c r="C290" s="2"/>
      <c r="D290" s="2" t="s">
        <v>32</v>
      </c>
      <c r="E290" s="2"/>
    </row>
    <row r="291">
      <c r="A291" s="11">
        <v>1160.0</v>
      </c>
      <c r="B291" s="12" t="s">
        <v>830</v>
      </c>
      <c r="C291" s="2"/>
      <c r="D291" s="2" t="s">
        <v>32</v>
      </c>
      <c r="E291" s="2"/>
    </row>
    <row r="292">
      <c r="A292" s="11">
        <v>1297.0</v>
      </c>
      <c r="B292" s="12" t="s">
        <v>831</v>
      </c>
      <c r="C292" s="2" t="s">
        <v>32</v>
      </c>
      <c r="D292" s="2" t="s">
        <v>32</v>
      </c>
      <c r="E292" s="2" t="s">
        <v>32</v>
      </c>
    </row>
    <row r="293">
      <c r="A293" s="11">
        <v>1336.0</v>
      </c>
      <c r="B293" s="12" t="s">
        <v>832</v>
      </c>
      <c r="C293" s="2"/>
      <c r="D293" s="2" t="s">
        <v>32</v>
      </c>
      <c r="E293" s="2"/>
    </row>
    <row r="294">
      <c r="A294" s="11">
        <v>1351.0</v>
      </c>
      <c r="B294" s="12" t="s">
        <v>833</v>
      </c>
      <c r="C294" s="2" t="s">
        <v>32</v>
      </c>
      <c r="D294" s="2" t="s">
        <v>32</v>
      </c>
      <c r="E294" s="2" t="s">
        <v>32</v>
      </c>
    </row>
    <row r="295">
      <c r="A295" s="11">
        <v>1381.0</v>
      </c>
      <c r="B295" s="12" t="s">
        <v>834</v>
      </c>
      <c r="C295" s="2"/>
      <c r="D295" s="2" t="s">
        <v>32</v>
      </c>
      <c r="E295" s="2"/>
    </row>
    <row r="296">
      <c r="A296" s="11">
        <v>1391.0</v>
      </c>
      <c r="B296" s="12" t="s">
        <v>835</v>
      </c>
      <c r="C296" s="2"/>
      <c r="D296" s="2" t="s">
        <v>32</v>
      </c>
      <c r="E296" s="2"/>
    </row>
    <row r="297">
      <c r="A297" s="11">
        <v>1476.0</v>
      </c>
      <c r="B297" s="12" t="s">
        <v>836</v>
      </c>
      <c r="C297" s="2"/>
      <c r="D297" s="2" t="s">
        <v>41</v>
      </c>
      <c r="E297" s="2"/>
    </row>
    <row r="298">
      <c r="A298" s="11">
        <v>1490.0</v>
      </c>
      <c r="B298" s="12" t="s">
        <v>837</v>
      </c>
      <c r="C298" s="2"/>
      <c r="D298" s="2" t="s">
        <v>32</v>
      </c>
      <c r="E298" s="2"/>
    </row>
    <row r="299">
      <c r="A299" s="11">
        <v>1503.0</v>
      </c>
      <c r="B299" s="12" t="s">
        <v>838</v>
      </c>
      <c r="C299" s="2"/>
      <c r="D299" s="2" t="s">
        <v>32</v>
      </c>
      <c r="E299" s="2"/>
    </row>
    <row r="300">
      <c r="A300" s="11">
        <v>159.0</v>
      </c>
      <c r="B300" s="12" t="s">
        <v>839</v>
      </c>
      <c r="C300" s="2"/>
      <c r="D300" s="2" t="s">
        <v>32</v>
      </c>
      <c r="E300" s="2"/>
    </row>
    <row r="301">
      <c r="A301" s="11">
        <v>1703.0</v>
      </c>
      <c r="B301" s="12" t="s">
        <v>840</v>
      </c>
      <c r="C301" s="2" t="s">
        <v>32</v>
      </c>
      <c r="D301" s="2" t="s">
        <v>32</v>
      </c>
      <c r="E301" s="2" t="s">
        <v>32</v>
      </c>
    </row>
    <row r="302">
      <c r="A302" s="11">
        <v>1869.0</v>
      </c>
      <c r="B302" s="12" t="s">
        <v>841</v>
      </c>
      <c r="C302" s="2"/>
      <c r="D302" s="2" t="s">
        <v>32</v>
      </c>
      <c r="E302" s="2"/>
    </row>
    <row r="303">
      <c r="A303" s="11">
        <v>194.0</v>
      </c>
      <c r="B303" s="12" t="s">
        <v>842</v>
      </c>
      <c r="C303" s="2" t="s">
        <v>32</v>
      </c>
      <c r="D303" s="2" t="s">
        <v>32</v>
      </c>
      <c r="E303" s="2" t="s">
        <v>32</v>
      </c>
    </row>
    <row r="304">
      <c r="A304" s="11">
        <v>2067.0</v>
      </c>
      <c r="B304" s="12" t="s">
        <v>843</v>
      </c>
      <c r="C304" s="2"/>
      <c r="D304" s="2" t="s">
        <v>32</v>
      </c>
      <c r="E304" s="2"/>
    </row>
    <row r="305">
      <c r="A305" s="11">
        <v>2175.0</v>
      </c>
      <c r="B305" s="12" t="s">
        <v>844</v>
      </c>
      <c r="C305" s="2"/>
      <c r="D305" s="2" t="s">
        <v>32</v>
      </c>
      <c r="E305" s="2"/>
    </row>
    <row r="306">
      <c r="A306" s="11">
        <v>2191.0</v>
      </c>
      <c r="B306" s="12" t="s">
        <v>845</v>
      </c>
      <c r="C306" s="2" t="s">
        <v>32</v>
      </c>
      <c r="D306" s="2" t="s">
        <v>32</v>
      </c>
      <c r="E306" s="2" t="s">
        <v>32</v>
      </c>
    </row>
    <row r="307">
      <c r="A307" s="11">
        <v>2260.0</v>
      </c>
      <c r="B307" s="12" t="s">
        <v>846</v>
      </c>
      <c r="C307" s="2"/>
      <c r="D307" s="2" t="s">
        <v>32</v>
      </c>
      <c r="E307" s="2"/>
    </row>
    <row r="308">
      <c r="A308" s="11">
        <v>2330.0</v>
      </c>
      <c r="B308" s="12" t="s">
        <v>847</v>
      </c>
      <c r="C308" s="2" t="s">
        <v>32</v>
      </c>
      <c r="D308" s="2" t="s">
        <v>32</v>
      </c>
      <c r="E308" s="2" t="s">
        <v>32</v>
      </c>
    </row>
    <row r="309">
      <c r="A309" s="11">
        <v>240.0</v>
      </c>
      <c r="B309" s="12" t="s">
        <v>848</v>
      </c>
      <c r="C309" s="2" t="s">
        <v>32</v>
      </c>
      <c r="D309" s="2" t="s">
        <v>32</v>
      </c>
      <c r="E309" s="2" t="s">
        <v>32</v>
      </c>
    </row>
    <row r="310">
      <c r="A310" s="11">
        <v>2402.0</v>
      </c>
      <c r="B310" s="12" t="s">
        <v>849</v>
      </c>
      <c r="C310" s="2"/>
      <c r="D310" s="2" t="s">
        <v>32</v>
      </c>
      <c r="E310" s="2"/>
    </row>
    <row r="311">
      <c r="A311" s="11">
        <v>2421.0</v>
      </c>
      <c r="B311" s="12" t="s">
        <v>850</v>
      </c>
      <c r="C311" s="2"/>
      <c r="D311" s="2" t="s">
        <v>32</v>
      </c>
      <c r="E311" s="2"/>
    </row>
    <row r="312">
      <c r="A312" s="11">
        <v>2434.0</v>
      </c>
      <c r="B312" s="12" t="s">
        <v>852</v>
      </c>
      <c r="C312" s="2" t="s">
        <v>32</v>
      </c>
      <c r="D312" s="2" t="s">
        <v>32</v>
      </c>
      <c r="E312" s="2" t="s">
        <v>32</v>
      </c>
    </row>
    <row r="313">
      <c r="A313" s="11">
        <v>2543.0</v>
      </c>
      <c r="B313" s="12" t="s">
        <v>853</v>
      </c>
      <c r="C313" s="2"/>
      <c r="D313" s="2" t="s">
        <v>41</v>
      </c>
      <c r="E313" s="2"/>
    </row>
    <row r="314">
      <c r="A314" s="11">
        <v>2551.0</v>
      </c>
      <c r="B314" s="12" t="s">
        <v>854</v>
      </c>
      <c r="C314" s="2"/>
      <c r="D314" s="2" t="s">
        <v>32</v>
      </c>
      <c r="E314" s="2"/>
    </row>
    <row r="315">
      <c r="A315" s="11">
        <v>2561.0</v>
      </c>
      <c r="B315" s="12" t="s">
        <v>855</v>
      </c>
      <c r="C315" s="2" t="s">
        <v>32</v>
      </c>
      <c r="D315" s="2" t="s">
        <v>32</v>
      </c>
      <c r="E315" s="2" t="s">
        <v>32</v>
      </c>
    </row>
    <row r="316">
      <c r="A316" s="11">
        <v>2587.0</v>
      </c>
      <c r="B316" s="12" t="s">
        <v>856</v>
      </c>
      <c r="C316" s="2" t="s">
        <v>32</v>
      </c>
      <c r="D316" s="2" t="s">
        <v>32</v>
      </c>
      <c r="E316" s="2" t="s">
        <v>32</v>
      </c>
    </row>
    <row r="317">
      <c r="A317" s="11">
        <v>2593.0</v>
      </c>
      <c r="B317" s="12" t="s">
        <v>857</v>
      </c>
      <c r="C317" s="2"/>
      <c r="D317" s="2" t="s">
        <v>32</v>
      </c>
      <c r="E317" s="2"/>
    </row>
    <row r="318">
      <c r="A318" s="11">
        <v>2776.0</v>
      </c>
      <c r="B318" s="12" t="s">
        <v>858</v>
      </c>
      <c r="C318" s="2"/>
      <c r="D318" s="2" t="s">
        <v>32</v>
      </c>
      <c r="E318" s="2"/>
    </row>
    <row r="319">
      <c r="A319" s="11">
        <v>2789.0</v>
      </c>
      <c r="B319" s="12" t="s">
        <v>859</v>
      </c>
      <c r="C319" s="2" t="s">
        <v>32</v>
      </c>
      <c r="D319" s="2" t="s">
        <v>32</v>
      </c>
      <c r="E319" s="2" t="s">
        <v>32</v>
      </c>
    </row>
    <row r="320">
      <c r="A320" s="11">
        <v>2871.0</v>
      </c>
      <c r="B320" s="12" t="s">
        <v>860</v>
      </c>
      <c r="C320" s="2"/>
      <c r="D320" s="2" t="s">
        <v>32</v>
      </c>
      <c r="E320" s="2"/>
    </row>
    <row r="321">
      <c r="A321" s="11">
        <v>2899.0</v>
      </c>
      <c r="B321" s="12" t="s">
        <v>862</v>
      </c>
      <c r="C321" s="2" t="s">
        <v>32</v>
      </c>
      <c r="D321" s="2" t="s">
        <v>32</v>
      </c>
      <c r="E321" s="2" t="s">
        <v>32</v>
      </c>
    </row>
    <row r="322">
      <c r="A322" s="11">
        <v>2968.0</v>
      </c>
      <c r="B322" s="12" t="s">
        <v>863</v>
      </c>
      <c r="C322" s="2" t="s">
        <v>32</v>
      </c>
      <c r="D322" s="2" t="s">
        <v>32</v>
      </c>
      <c r="E322" s="2" t="s">
        <v>32</v>
      </c>
    </row>
    <row r="323">
      <c r="A323" s="11">
        <v>3079.0</v>
      </c>
      <c r="B323" s="12" t="s">
        <v>865</v>
      </c>
      <c r="C323" s="2"/>
      <c r="D323" s="2" t="s">
        <v>32</v>
      </c>
      <c r="E323" s="2"/>
    </row>
    <row r="324">
      <c r="A324" s="11">
        <v>3112.0</v>
      </c>
      <c r="B324" s="12" t="s">
        <v>867</v>
      </c>
      <c r="C324" s="2" t="s">
        <v>32</v>
      </c>
      <c r="D324" s="2" t="s">
        <v>32</v>
      </c>
      <c r="E324" s="2" t="s">
        <v>32</v>
      </c>
    </row>
    <row r="325">
      <c r="A325" s="11">
        <v>3152.0</v>
      </c>
      <c r="B325" s="12" t="s">
        <v>869</v>
      </c>
      <c r="C325" s="2"/>
      <c r="D325" s="2" t="s">
        <v>32</v>
      </c>
      <c r="E325" s="2"/>
    </row>
    <row r="326">
      <c r="A326" s="11">
        <v>3391.0</v>
      </c>
      <c r="B326" s="12" t="s">
        <v>870</v>
      </c>
      <c r="C326" s="2" t="s">
        <v>32</v>
      </c>
      <c r="D326" s="2" t="s">
        <v>32</v>
      </c>
      <c r="E326" s="2" t="s">
        <v>32</v>
      </c>
    </row>
    <row r="327">
      <c r="A327" s="11">
        <v>3463.0</v>
      </c>
      <c r="B327" s="12" t="s">
        <v>871</v>
      </c>
      <c r="C327" s="2"/>
      <c r="D327" s="2" t="s">
        <v>32</v>
      </c>
      <c r="E327" s="2"/>
    </row>
    <row r="328">
      <c r="A328" s="11">
        <v>3583.0</v>
      </c>
      <c r="B328" s="12" t="s">
        <v>872</v>
      </c>
      <c r="C328" s="2"/>
      <c r="D328" s="2" t="s">
        <v>41</v>
      </c>
      <c r="E328" s="2"/>
    </row>
    <row r="329">
      <c r="A329" s="11">
        <v>3828.0</v>
      </c>
      <c r="B329" s="12" t="s">
        <v>874</v>
      </c>
      <c r="C329" s="2" t="s">
        <v>32</v>
      </c>
      <c r="D329" s="2" t="s">
        <v>32</v>
      </c>
      <c r="E329" s="2" t="s">
        <v>32</v>
      </c>
    </row>
    <row r="330">
      <c r="A330" s="11">
        <v>3899.0</v>
      </c>
      <c r="B330" s="12" t="s">
        <v>875</v>
      </c>
      <c r="C330" s="2" t="s">
        <v>32</v>
      </c>
      <c r="D330" s="2" t="s">
        <v>32</v>
      </c>
      <c r="E330" s="2" t="s">
        <v>32</v>
      </c>
    </row>
    <row r="331">
      <c r="A331" s="11">
        <v>3954.0</v>
      </c>
      <c r="B331" s="12" t="s">
        <v>878</v>
      </c>
      <c r="C331" s="2"/>
      <c r="D331" s="2" t="s">
        <v>32</v>
      </c>
      <c r="E331" s="2"/>
    </row>
    <row r="332">
      <c r="A332" s="11">
        <v>4376.0</v>
      </c>
      <c r="B332" s="12" t="s">
        <v>879</v>
      </c>
      <c r="C332" s="2"/>
      <c r="D332" s="2" t="s">
        <v>32</v>
      </c>
      <c r="E332" s="2"/>
    </row>
    <row r="333">
      <c r="A333" s="11">
        <v>4838.0</v>
      </c>
      <c r="B333" s="12" t="s">
        <v>880</v>
      </c>
      <c r="C333" s="2"/>
      <c r="D333" s="2" t="s">
        <v>32</v>
      </c>
      <c r="E333" s="2"/>
    </row>
    <row r="334">
      <c r="A334" s="11">
        <v>563.0</v>
      </c>
      <c r="B334" s="12" t="s">
        <v>881</v>
      </c>
      <c r="C334" s="2" t="s">
        <v>32</v>
      </c>
      <c r="D334" s="2" t="s">
        <v>32</v>
      </c>
      <c r="E334" s="2" t="s">
        <v>32</v>
      </c>
    </row>
    <row r="335">
      <c r="A335" s="11">
        <v>7155.0</v>
      </c>
      <c r="B335" s="12" t="s">
        <v>882</v>
      </c>
      <c r="C335" s="2"/>
      <c r="D335" s="2" t="s">
        <v>32</v>
      </c>
      <c r="E335" s="2"/>
    </row>
    <row r="336">
      <c r="A336" s="11">
        <v>8009.0</v>
      </c>
      <c r="B336" s="12" t="s">
        <v>883</v>
      </c>
      <c r="C336" s="2"/>
      <c r="D336" s="2" t="s">
        <v>32</v>
      </c>
      <c r="E336" s="2"/>
    </row>
    <row r="337">
      <c r="A337" s="11">
        <v>9.0</v>
      </c>
      <c r="B337" s="12" t="s">
        <v>884</v>
      </c>
      <c r="C337" s="2" t="s">
        <v>32</v>
      </c>
      <c r="D337" s="2" t="s">
        <v>32</v>
      </c>
      <c r="E337" s="2" t="s">
        <v>32</v>
      </c>
    </row>
    <row r="338">
      <c r="A338" s="11">
        <v>102.0</v>
      </c>
      <c r="B338" s="12" t="s">
        <v>885</v>
      </c>
      <c r="C338" s="2"/>
      <c r="D338" s="2" t="s">
        <v>41</v>
      </c>
      <c r="E338" s="2"/>
    </row>
    <row r="339">
      <c r="A339" s="11">
        <v>1521.0</v>
      </c>
      <c r="B339" s="12" t="s">
        <v>886</v>
      </c>
      <c r="C339" s="2"/>
      <c r="D339" s="2" t="s">
        <v>32</v>
      </c>
      <c r="E339" s="2"/>
    </row>
    <row r="340">
      <c r="A340" s="11">
        <v>164.0</v>
      </c>
      <c r="B340" s="12" t="s">
        <v>888</v>
      </c>
      <c r="C340" s="2"/>
      <c r="D340" s="2" t="s">
        <v>32</v>
      </c>
      <c r="E340" s="2"/>
    </row>
    <row r="341">
      <c r="A341" s="11">
        <v>1658.0</v>
      </c>
      <c r="B341" s="12" t="s">
        <v>889</v>
      </c>
      <c r="C341" s="2"/>
      <c r="D341" s="2" t="s">
        <v>32</v>
      </c>
      <c r="E341" s="2"/>
    </row>
    <row r="342">
      <c r="A342" s="11">
        <v>1723.0</v>
      </c>
      <c r="B342" s="12" t="s">
        <v>890</v>
      </c>
      <c r="C342" s="2" t="s">
        <v>32</v>
      </c>
      <c r="D342" s="2" t="s">
        <v>32</v>
      </c>
      <c r="E342" s="2" t="s">
        <v>32</v>
      </c>
    </row>
    <row r="343">
      <c r="A343" s="11">
        <v>1790.0</v>
      </c>
      <c r="B343" s="12" t="s">
        <v>891</v>
      </c>
      <c r="C343" s="2"/>
      <c r="D343" s="2" t="s">
        <v>32</v>
      </c>
      <c r="E343" s="2"/>
    </row>
    <row r="344">
      <c r="A344" s="11">
        <v>181.0</v>
      </c>
      <c r="B344" s="12" t="s">
        <v>892</v>
      </c>
      <c r="C344" s="2"/>
      <c r="D344" s="2" t="s">
        <v>32</v>
      </c>
      <c r="E344" s="2"/>
    </row>
    <row r="345">
      <c r="A345" s="11">
        <v>182.0</v>
      </c>
      <c r="B345" s="12" t="s">
        <v>893</v>
      </c>
      <c r="C345" s="2" t="s">
        <v>32</v>
      </c>
      <c r="D345" s="2" t="s">
        <v>32</v>
      </c>
      <c r="E345" s="2" t="s">
        <v>32</v>
      </c>
    </row>
    <row r="346">
      <c r="A346" s="11">
        <v>196.0</v>
      </c>
      <c r="B346" s="12" t="s">
        <v>894</v>
      </c>
      <c r="C346" s="2" t="s">
        <v>41</v>
      </c>
      <c r="D346" s="2" t="s">
        <v>41</v>
      </c>
      <c r="E346" s="2" t="s">
        <v>41</v>
      </c>
    </row>
    <row r="347">
      <c r="A347" s="11">
        <v>2105.0</v>
      </c>
      <c r="B347" s="12" t="s">
        <v>895</v>
      </c>
      <c r="C347" s="2"/>
      <c r="D347" s="2" t="s">
        <v>32</v>
      </c>
      <c r="E347" s="2"/>
    </row>
    <row r="348">
      <c r="A348" s="11">
        <v>2150.0</v>
      </c>
      <c r="B348" s="12" t="s">
        <v>896</v>
      </c>
      <c r="C348" s="2"/>
      <c r="D348" s="2" t="s">
        <v>32</v>
      </c>
      <c r="E348" s="2"/>
    </row>
    <row r="349">
      <c r="A349" s="11">
        <v>2307.0</v>
      </c>
      <c r="B349" s="12" t="s">
        <v>897</v>
      </c>
      <c r="C349" s="2"/>
      <c r="D349" s="2" t="s">
        <v>32</v>
      </c>
      <c r="E349" s="2"/>
    </row>
    <row r="350">
      <c r="A350" s="11">
        <v>258.0</v>
      </c>
      <c r="B350" s="12" t="s">
        <v>898</v>
      </c>
      <c r="C350" s="2"/>
      <c r="D350" s="2" t="s">
        <v>32</v>
      </c>
      <c r="E350" s="2"/>
    </row>
    <row r="351">
      <c r="A351" s="11">
        <v>2632.0</v>
      </c>
      <c r="B351" s="12" t="s">
        <v>899</v>
      </c>
      <c r="C351" s="2"/>
      <c r="D351" s="2" t="s">
        <v>32</v>
      </c>
      <c r="E351" s="2"/>
    </row>
    <row r="352">
      <c r="A352" s="11">
        <v>2734.0</v>
      </c>
      <c r="B352" s="12" t="s">
        <v>900</v>
      </c>
      <c r="C352" s="2"/>
      <c r="D352" s="2" t="s">
        <v>32</v>
      </c>
      <c r="E352" s="2"/>
    </row>
    <row r="353">
      <c r="A353" s="11">
        <v>2910.0</v>
      </c>
      <c r="B353" s="12" t="s">
        <v>901</v>
      </c>
      <c r="C353" s="2" t="s">
        <v>32</v>
      </c>
      <c r="D353" s="2" t="s">
        <v>32</v>
      </c>
      <c r="E353" s="2" t="s">
        <v>32</v>
      </c>
    </row>
    <row r="354">
      <c r="A354" s="11">
        <v>2985.0</v>
      </c>
      <c r="B354" s="12" t="s">
        <v>902</v>
      </c>
      <c r="C354" s="2"/>
      <c r="D354" s="2" t="s">
        <v>32</v>
      </c>
      <c r="E354" s="2"/>
    </row>
    <row r="355">
      <c r="A355" s="11">
        <v>3906.0</v>
      </c>
      <c r="B355" s="12" t="s">
        <v>903</v>
      </c>
      <c r="C355" s="2"/>
      <c r="D355" s="2" t="s">
        <v>32</v>
      </c>
      <c r="E355" s="2"/>
    </row>
    <row r="356">
      <c r="A356" s="11">
        <v>4647.0</v>
      </c>
      <c r="B356" s="12" t="s">
        <v>904</v>
      </c>
      <c r="C356" s="2"/>
      <c r="D356" s="2" t="s">
        <v>32</v>
      </c>
      <c r="E356" s="2"/>
    </row>
    <row r="357">
      <c r="A357" s="11">
        <v>4822.0</v>
      </c>
      <c r="B357" s="12" t="s">
        <v>905</v>
      </c>
      <c r="C357" s="2"/>
      <c r="D357" s="2" t="s">
        <v>32</v>
      </c>
      <c r="E357" s="2"/>
    </row>
    <row r="358">
      <c r="A358" s="11">
        <v>502.0</v>
      </c>
      <c r="B358" s="12" t="s">
        <v>906</v>
      </c>
      <c r="C358" s="2"/>
      <c r="D358" s="2" t="s">
        <v>32</v>
      </c>
      <c r="E358" s="2"/>
    </row>
    <row r="359">
      <c r="A359" s="11">
        <v>625.0</v>
      </c>
      <c r="B359" s="12" t="s">
        <v>907</v>
      </c>
      <c r="C359" s="2"/>
      <c r="D359" s="2" t="s">
        <v>32</v>
      </c>
      <c r="E359" s="2"/>
    </row>
    <row r="360">
      <c r="A360" s="11">
        <v>63.0</v>
      </c>
      <c r="B360" s="12" t="s">
        <v>908</v>
      </c>
      <c r="C360" s="2"/>
      <c r="D360" s="2" t="s">
        <v>41</v>
      </c>
      <c r="E360" s="2"/>
    </row>
    <row r="361">
      <c r="A361" s="11">
        <v>6321.0</v>
      </c>
      <c r="B361" s="12" t="s">
        <v>909</v>
      </c>
      <c r="C361" s="2"/>
      <c r="D361" s="2" t="s">
        <v>41</v>
      </c>
      <c r="E361" s="2"/>
    </row>
    <row r="362">
      <c r="A362" s="11">
        <v>931.0</v>
      </c>
      <c r="B362" s="12" t="s">
        <v>910</v>
      </c>
      <c r="C362" s="2"/>
      <c r="D362" s="2" t="s">
        <v>32</v>
      </c>
      <c r="E362" s="2"/>
    </row>
    <row r="366">
      <c r="A366" s="7" t="s">
        <v>112</v>
      </c>
      <c r="B366" s="114" t="s">
        <v>114</v>
      </c>
      <c r="D366" s="2" t="s">
        <v>32</v>
      </c>
    </row>
    <row r="367">
      <c r="A367" s="7" t="s">
        <v>118</v>
      </c>
      <c r="B367" s="114" t="s">
        <v>119</v>
      </c>
      <c r="D367" s="2" t="s">
        <v>32</v>
      </c>
    </row>
    <row r="368">
      <c r="A368" s="7" t="s">
        <v>123</v>
      </c>
      <c r="B368" s="114" t="s">
        <v>124</v>
      </c>
      <c r="D368" s="2" t="s">
        <v>32</v>
      </c>
    </row>
    <row r="369">
      <c r="A369" s="7" t="s">
        <v>128</v>
      </c>
      <c r="B369" s="114" t="s">
        <v>129</v>
      </c>
      <c r="D369" s="2" t="s">
        <v>32</v>
      </c>
    </row>
    <row r="370">
      <c r="A370" s="7" t="s">
        <v>134</v>
      </c>
      <c r="B370" s="114" t="s">
        <v>136</v>
      </c>
      <c r="D370" s="2" t="s">
        <v>32</v>
      </c>
    </row>
    <row r="371">
      <c r="A371" s="7" t="s">
        <v>139</v>
      </c>
      <c r="B371" s="114" t="s">
        <v>140</v>
      </c>
      <c r="D371" s="2" t="s">
        <v>32</v>
      </c>
    </row>
    <row r="372">
      <c r="A372" s="7" t="s">
        <v>144</v>
      </c>
      <c r="B372" s="114" t="s">
        <v>145</v>
      </c>
      <c r="D372" s="2" t="s">
        <v>32</v>
      </c>
    </row>
    <row r="373">
      <c r="A373" s="7" t="s">
        <v>148</v>
      </c>
      <c r="B373" s="114" t="s">
        <v>149</v>
      </c>
      <c r="D373" s="2" t="s">
        <v>32</v>
      </c>
    </row>
    <row r="374">
      <c r="A374" s="7" t="s">
        <v>154</v>
      </c>
      <c r="B374" s="114" t="s">
        <v>155</v>
      </c>
      <c r="D374" s="2" t="s">
        <v>32</v>
      </c>
    </row>
    <row r="375">
      <c r="A375" s="7" t="s">
        <v>161</v>
      </c>
      <c r="B375" s="114" t="s">
        <v>162</v>
      </c>
      <c r="D375" s="2" t="s">
        <v>41</v>
      </c>
    </row>
    <row r="376">
      <c r="A376" s="7" t="s">
        <v>167</v>
      </c>
      <c r="B376" s="114" t="s">
        <v>168</v>
      </c>
      <c r="D376" s="2" t="s">
        <v>32</v>
      </c>
    </row>
    <row r="377">
      <c r="A377" s="7" t="s">
        <v>174</v>
      </c>
      <c r="B377" s="114" t="s">
        <v>175</v>
      </c>
      <c r="D377" s="2" t="s">
        <v>32</v>
      </c>
    </row>
    <row r="378">
      <c r="A378" s="7" t="s">
        <v>181</v>
      </c>
      <c r="B378" s="114" t="s">
        <v>183</v>
      </c>
      <c r="D378" s="2" t="s">
        <v>32</v>
      </c>
    </row>
    <row r="379">
      <c r="A379" s="7" t="s">
        <v>187</v>
      </c>
      <c r="B379" s="114" t="s">
        <v>188</v>
      </c>
      <c r="D379" s="2" t="s">
        <v>32</v>
      </c>
    </row>
    <row r="380">
      <c r="A380" s="7" t="s">
        <v>193</v>
      </c>
      <c r="B380" s="114" t="s">
        <v>194</v>
      </c>
      <c r="D380" s="2" t="s">
        <v>32</v>
      </c>
    </row>
    <row r="381">
      <c r="A381" s="7" t="s">
        <v>199</v>
      </c>
      <c r="B381" s="114" t="s">
        <v>200</v>
      </c>
      <c r="D381" s="2" t="s">
        <v>32</v>
      </c>
    </row>
    <row r="382">
      <c r="A382" s="7" t="s">
        <v>205</v>
      </c>
      <c r="B382" s="114" t="s">
        <v>207</v>
      </c>
      <c r="D382" s="2" t="s">
        <v>32</v>
      </c>
    </row>
    <row r="383">
      <c r="A383" s="7" t="s">
        <v>209</v>
      </c>
      <c r="B383" s="114" t="s">
        <v>210</v>
      </c>
      <c r="D383" s="2" t="s">
        <v>32</v>
      </c>
    </row>
    <row r="384">
      <c r="A384" s="7" t="s">
        <v>225</v>
      </c>
      <c r="B384" s="114" t="s">
        <v>227</v>
      </c>
      <c r="D384" s="2" t="s">
        <v>32</v>
      </c>
    </row>
    <row r="385">
      <c r="A385" s="7" t="s">
        <v>236</v>
      </c>
      <c r="B385" s="114" t="s">
        <v>237</v>
      </c>
      <c r="D385" s="2" t="s">
        <v>32</v>
      </c>
    </row>
  </sheetData>
  <dataValidations>
    <dataValidation type="list" allowBlank="1" showErrorMessage="1" sqref="C2:D133 C138:E362 D366:D385">
      <formula1>"Y,N"</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8"/>
    <hyperlink r:id="rId134" ref="B139"/>
    <hyperlink r:id="rId135" ref="B140"/>
    <hyperlink r:id="rId136" ref="B141"/>
    <hyperlink r:id="rId137" ref="B142"/>
    <hyperlink r:id="rId138" ref="B143"/>
    <hyperlink r:id="rId139" ref="B144"/>
    <hyperlink r:id="rId140" ref="B145"/>
    <hyperlink r:id="rId141" ref="B146"/>
    <hyperlink r:id="rId142" ref="B147"/>
    <hyperlink r:id="rId143" ref="B148"/>
    <hyperlink r:id="rId144" ref="B149"/>
    <hyperlink r:id="rId145" ref="B150"/>
    <hyperlink r:id="rId146" ref="B151"/>
    <hyperlink r:id="rId147" ref="B152"/>
    <hyperlink r:id="rId148" ref="B153"/>
    <hyperlink r:id="rId149" ref="B154"/>
    <hyperlink r:id="rId150" ref="B155"/>
    <hyperlink r:id="rId151" ref="B156"/>
    <hyperlink r:id="rId152" ref="B157"/>
    <hyperlink r:id="rId153" ref="B158"/>
    <hyperlink r:id="rId154" ref="B159"/>
    <hyperlink r:id="rId155" ref="B160"/>
    <hyperlink r:id="rId156" ref="B161"/>
    <hyperlink r:id="rId157" ref="B162"/>
    <hyperlink r:id="rId158" ref="B163"/>
    <hyperlink r:id="rId159" ref="B164"/>
    <hyperlink r:id="rId160" ref="B165"/>
    <hyperlink r:id="rId161" ref="B166"/>
    <hyperlink r:id="rId162" ref="B167"/>
    <hyperlink r:id="rId163" ref="B168"/>
    <hyperlink r:id="rId164" ref="B169"/>
    <hyperlink r:id="rId165" ref="B170"/>
    <hyperlink r:id="rId166" ref="B171"/>
    <hyperlink r:id="rId167" ref="B172"/>
    <hyperlink r:id="rId168" ref="B173"/>
    <hyperlink r:id="rId169" ref="B174"/>
    <hyperlink r:id="rId170" ref="B175"/>
    <hyperlink r:id="rId171" ref="B176"/>
    <hyperlink r:id="rId172" ref="B177"/>
    <hyperlink r:id="rId173" ref="B178"/>
    <hyperlink r:id="rId174" ref="B179"/>
    <hyperlink r:id="rId175" ref="B180"/>
    <hyperlink r:id="rId176" ref="B181"/>
    <hyperlink r:id="rId177" ref="B182"/>
    <hyperlink r:id="rId178" ref="B183"/>
    <hyperlink r:id="rId179" ref="B184"/>
    <hyperlink r:id="rId180" ref="B185"/>
    <hyperlink r:id="rId181" ref="B186"/>
    <hyperlink r:id="rId182" ref="B187"/>
    <hyperlink r:id="rId183" ref="B188"/>
    <hyperlink r:id="rId184" ref="B189"/>
    <hyperlink r:id="rId185" ref="B190"/>
    <hyperlink r:id="rId186" ref="B191"/>
    <hyperlink r:id="rId187" ref="B192"/>
    <hyperlink r:id="rId188" ref="B193"/>
    <hyperlink r:id="rId189" ref="B194"/>
    <hyperlink r:id="rId190" ref="B195"/>
    <hyperlink r:id="rId191" ref="B196"/>
    <hyperlink r:id="rId192" ref="B197"/>
    <hyperlink r:id="rId193" ref="B198"/>
    <hyperlink r:id="rId194" ref="B199"/>
    <hyperlink r:id="rId195" ref="B200"/>
    <hyperlink r:id="rId196" ref="B201"/>
    <hyperlink r:id="rId197" ref="B202"/>
    <hyperlink r:id="rId198" ref="B203"/>
    <hyperlink r:id="rId199" ref="B204"/>
    <hyperlink r:id="rId200" ref="B205"/>
    <hyperlink r:id="rId201" ref="B206"/>
    <hyperlink r:id="rId202" ref="B207"/>
    <hyperlink r:id="rId203" ref="B208"/>
    <hyperlink r:id="rId204" ref="B209"/>
    <hyperlink r:id="rId205" ref="B210"/>
    <hyperlink r:id="rId206" ref="B211"/>
    <hyperlink r:id="rId207" ref="B212"/>
    <hyperlink r:id="rId208" ref="B213"/>
    <hyperlink r:id="rId209" ref="B214"/>
    <hyperlink r:id="rId210" ref="B215"/>
    <hyperlink r:id="rId211" ref="B216"/>
    <hyperlink r:id="rId212" ref="B217"/>
    <hyperlink r:id="rId213" ref="B218"/>
    <hyperlink r:id="rId214" ref="B219"/>
    <hyperlink r:id="rId215" ref="B220"/>
    <hyperlink r:id="rId216" ref="B221"/>
    <hyperlink r:id="rId217" ref="B222"/>
    <hyperlink r:id="rId218" ref="B223"/>
    <hyperlink r:id="rId219" ref="B224"/>
    <hyperlink r:id="rId220" ref="B225"/>
    <hyperlink r:id="rId221" ref="B226"/>
    <hyperlink r:id="rId222" ref="B227"/>
    <hyperlink r:id="rId223" ref="B228"/>
    <hyperlink r:id="rId224" ref="B229"/>
    <hyperlink r:id="rId225" ref="B230"/>
    <hyperlink r:id="rId226" ref="B231"/>
    <hyperlink r:id="rId227" ref="B232"/>
    <hyperlink r:id="rId228" ref="B233"/>
    <hyperlink r:id="rId229" ref="B234"/>
    <hyperlink r:id="rId230" ref="B235"/>
    <hyperlink r:id="rId231" ref="B236"/>
    <hyperlink r:id="rId232" ref="B237"/>
    <hyperlink r:id="rId233" ref="B238"/>
    <hyperlink r:id="rId234" ref="B239"/>
    <hyperlink r:id="rId235" ref="B240"/>
    <hyperlink r:id="rId236" ref="B241"/>
    <hyperlink r:id="rId237" ref="B242"/>
    <hyperlink r:id="rId238" ref="B243"/>
    <hyperlink r:id="rId239" ref="B244"/>
    <hyperlink r:id="rId240" ref="B245"/>
    <hyperlink r:id="rId241" ref="B246"/>
    <hyperlink r:id="rId242" ref="B247"/>
    <hyperlink r:id="rId243" ref="B248"/>
    <hyperlink r:id="rId244" ref="B249"/>
    <hyperlink r:id="rId245" ref="B250"/>
    <hyperlink r:id="rId246" ref="B251"/>
    <hyperlink r:id="rId247" ref="B252"/>
    <hyperlink r:id="rId248" ref="B253"/>
    <hyperlink r:id="rId249" ref="B254"/>
    <hyperlink r:id="rId250" ref="B255"/>
    <hyperlink r:id="rId251" ref="B256"/>
    <hyperlink r:id="rId252" ref="B257"/>
    <hyperlink r:id="rId253" ref="B258"/>
    <hyperlink r:id="rId254" ref="B259"/>
    <hyperlink r:id="rId255" ref="B260"/>
    <hyperlink r:id="rId256" ref="B261"/>
    <hyperlink r:id="rId257" ref="B262"/>
    <hyperlink r:id="rId258" ref="B263"/>
    <hyperlink r:id="rId259" ref="B264"/>
    <hyperlink r:id="rId260" ref="B265"/>
    <hyperlink r:id="rId261" ref="B266"/>
    <hyperlink r:id="rId262" ref="B267"/>
    <hyperlink r:id="rId263" ref="B268"/>
    <hyperlink r:id="rId264" ref="B269"/>
    <hyperlink r:id="rId265" ref="B270"/>
    <hyperlink r:id="rId266" ref="B271"/>
    <hyperlink r:id="rId267" ref="B272"/>
    <hyperlink r:id="rId268" ref="B273"/>
    <hyperlink r:id="rId269" ref="B274"/>
    <hyperlink r:id="rId270" ref="B275"/>
    <hyperlink r:id="rId271" ref="B276"/>
    <hyperlink r:id="rId272" ref="B277"/>
    <hyperlink r:id="rId273" ref="B278"/>
    <hyperlink r:id="rId274" ref="B279"/>
    <hyperlink r:id="rId275" ref="B280"/>
    <hyperlink r:id="rId276" ref="B281"/>
    <hyperlink r:id="rId277" ref="B282"/>
    <hyperlink r:id="rId278" ref="B283"/>
    <hyperlink r:id="rId279" ref="B284"/>
    <hyperlink r:id="rId280" ref="B285"/>
    <hyperlink r:id="rId281" ref="B286"/>
    <hyperlink r:id="rId282" ref="B287"/>
    <hyperlink r:id="rId283" ref="B288"/>
    <hyperlink r:id="rId284" ref="B289"/>
    <hyperlink r:id="rId285" ref="B290"/>
    <hyperlink r:id="rId286" ref="B291"/>
    <hyperlink r:id="rId287" ref="B292"/>
    <hyperlink r:id="rId288" ref="B293"/>
    <hyperlink r:id="rId289" ref="B294"/>
    <hyperlink r:id="rId290" ref="B295"/>
    <hyperlink r:id="rId291" ref="B296"/>
    <hyperlink r:id="rId292" ref="B297"/>
    <hyperlink r:id="rId293" ref="B298"/>
    <hyperlink r:id="rId294" ref="B299"/>
    <hyperlink r:id="rId295" ref="B300"/>
    <hyperlink r:id="rId296" ref="B301"/>
    <hyperlink r:id="rId297" ref="B302"/>
    <hyperlink r:id="rId298" ref="B303"/>
    <hyperlink r:id="rId299" ref="B304"/>
    <hyperlink r:id="rId300" ref="B305"/>
    <hyperlink r:id="rId301" ref="B306"/>
    <hyperlink r:id="rId302" ref="B307"/>
    <hyperlink r:id="rId303" ref="B308"/>
    <hyperlink r:id="rId304" ref="B309"/>
    <hyperlink r:id="rId305" ref="B310"/>
    <hyperlink r:id="rId306" ref="B311"/>
    <hyperlink r:id="rId307" ref="B312"/>
    <hyperlink r:id="rId308" ref="B313"/>
    <hyperlink r:id="rId309" ref="B314"/>
    <hyperlink r:id="rId310" ref="B315"/>
    <hyperlink r:id="rId311" ref="B316"/>
    <hyperlink r:id="rId312" ref="B317"/>
    <hyperlink r:id="rId313" ref="B318"/>
    <hyperlink r:id="rId314" ref="B319"/>
    <hyperlink r:id="rId315" ref="B320"/>
    <hyperlink r:id="rId316" ref="B321"/>
    <hyperlink r:id="rId317" ref="B322"/>
    <hyperlink r:id="rId318" ref="B323"/>
    <hyperlink r:id="rId319" ref="B324"/>
    <hyperlink r:id="rId320" ref="B325"/>
    <hyperlink r:id="rId321" ref="B326"/>
    <hyperlink r:id="rId322" ref="B327"/>
    <hyperlink r:id="rId323" ref="B328"/>
    <hyperlink r:id="rId324" ref="B329"/>
    <hyperlink r:id="rId325" ref="B330"/>
    <hyperlink r:id="rId326" ref="B331"/>
    <hyperlink r:id="rId327" ref="B332"/>
    <hyperlink r:id="rId328" ref="B333"/>
    <hyperlink r:id="rId329" ref="B334"/>
    <hyperlink r:id="rId330" ref="B335"/>
    <hyperlink r:id="rId331" ref="B336"/>
    <hyperlink r:id="rId332" ref="B337"/>
    <hyperlink r:id="rId333" ref="B338"/>
    <hyperlink r:id="rId334" ref="B339"/>
    <hyperlink r:id="rId335" ref="B340"/>
    <hyperlink r:id="rId336" ref="B341"/>
    <hyperlink r:id="rId337" ref="B342"/>
    <hyperlink r:id="rId338" ref="B343"/>
    <hyperlink r:id="rId339" ref="B344"/>
    <hyperlink r:id="rId340" ref="B345"/>
    <hyperlink r:id="rId341" ref="B346"/>
    <hyperlink r:id="rId342" ref="B347"/>
    <hyperlink r:id="rId343" ref="B348"/>
    <hyperlink r:id="rId344" ref="B349"/>
    <hyperlink r:id="rId345" ref="B350"/>
    <hyperlink r:id="rId346" ref="B351"/>
    <hyperlink r:id="rId347" ref="B352"/>
    <hyperlink r:id="rId348" ref="B353"/>
    <hyperlink r:id="rId349" ref="B354"/>
    <hyperlink r:id="rId350" ref="B355"/>
    <hyperlink r:id="rId351" ref="B356"/>
    <hyperlink r:id="rId352" ref="B357"/>
    <hyperlink r:id="rId353" ref="B358"/>
    <hyperlink r:id="rId354" ref="B359"/>
    <hyperlink r:id="rId355" ref="B360"/>
    <hyperlink r:id="rId356" ref="B361"/>
    <hyperlink r:id="rId357" ref="B362"/>
    <hyperlink r:id="rId358" ref="B366"/>
    <hyperlink r:id="rId359" ref="B367"/>
    <hyperlink r:id="rId360" ref="B368"/>
    <hyperlink r:id="rId361" ref="B369"/>
    <hyperlink r:id="rId362" ref="B370"/>
    <hyperlink r:id="rId363" ref="B371"/>
    <hyperlink r:id="rId364" ref="B372"/>
    <hyperlink r:id="rId365" ref="B373"/>
    <hyperlink r:id="rId366" ref="B374"/>
    <hyperlink r:id="rId367" ref="B375"/>
    <hyperlink r:id="rId368" ref="B376"/>
    <hyperlink r:id="rId369" ref="B377"/>
    <hyperlink r:id="rId370" ref="B378"/>
    <hyperlink r:id="rId371" ref="B379"/>
    <hyperlink r:id="rId372" ref="B380"/>
    <hyperlink r:id="rId373" ref="B381"/>
    <hyperlink r:id="rId374" ref="B382"/>
    <hyperlink r:id="rId375" ref="B383"/>
    <hyperlink r:id="rId376" ref="B384"/>
    <hyperlink r:id="rId377" ref="B385"/>
  </hyperlinks>
  <drawing r:id="rId378"/>
  <tableParts count="2">
    <tablePart r:id="rId381"/>
    <tablePart r:id="rId38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0"/>
    <col customWidth="1" min="3" max="3" width="14.63"/>
  </cols>
  <sheetData>
    <row r="2">
      <c r="A2" s="2"/>
      <c r="B2" s="2"/>
      <c r="C2" s="13" t="s">
        <v>36</v>
      </c>
      <c r="O2" s="14" t="s">
        <v>38</v>
      </c>
      <c r="P2" s="2" t="s">
        <v>39</v>
      </c>
      <c r="Q2" s="14"/>
    </row>
    <row r="3">
      <c r="A3" s="7"/>
      <c r="B3" s="7"/>
      <c r="C3" s="7"/>
      <c r="D3" s="7"/>
      <c r="E3" s="7"/>
      <c r="F3" s="7"/>
      <c r="G3" s="7"/>
      <c r="H3" s="7"/>
      <c r="I3" s="7"/>
      <c r="J3" s="7"/>
      <c r="K3" s="7"/>
      <c r="L3" s="7"/>
      <c r="M3" s="7"/>
      <c r="N3" s="7"/>
      <c r="O3" s="10"/>
      <c r="P3" s="2" t="s">
        <v>44</v>
      </c>
    </row>
    <row r="4" ht="22.5" customHeight="1">
      <c r="A4" s="18" t="s">
        <v>12</v>
      </c>
      <c r="B4" s="18" t="s">
        <v>15</v>
      </c>
      <c r="C4" s="18" t="s">
        <v>16</v>
      </c>
      <c r="D4" s="18" t="s">
        <v>17</v>
      </c>
      <c r="E4" s="18" t="s">
        <v>18</v>
      </c>
      <c r="F4" s="18" t="s">
        <v>19</v>
      </c>
      <c r="G4" s="18" t="s">
        <v>20</v>
      </c>
      <c r="H4" s="18" t="s">
        <v>21</v>
      </c>
      <c r="I4" s="18" t="s">
        <v>22</v>
      </c>
      <c r="J4" s="18" t="s">
        <v>23</v>
      </c>
      <c r="K4" s="18" t="s">
        <v>24</v>
      </c>
      <c r="L4" s="18" t="s">
        <v>25</v>
      </c>
      <c r="M4" s="18" t="s">
        <v>26</v>
      </c>
      <c r="N4" s="18" t="s">
        <v>27</v>
      </c>
      <c r="O4" s="19" t="s">
        <v>28</v>
      </c>
      <c r="P4" s="19" t="s">
        <v>29</v>
      </c>
      <c r="Q4" s="19" t="s">
        <v>30</v>
      </c>
    </row>
    <row r="5" ht="22.5" customHeight="1">
      <c r="A5" s="20">
        <v>1.0</v>
      </c>
      <c r="B5" s="20" t="s">
        <v>31</v>
      </c>
      <c r="C5" s="21">
        <f t="shared" ref="C5:C6" si="2">3+0+0+0</f>
        <v>3</v>
      </c>
      <c r="D5" s="21">
        <f>6+3+4+0</f>
        <v>13</v>
      </c>
      <c r="E5" s="21">
        <f t="shared" ref="E5:E7" si="3">C5+D5</f>
        <v>16</v>
      </c>
      <c r="F5" s="21">
        <f>6+1+14+0</f>
        <v>21</v>
      </c>
      <c r="G5" s="21">
        <f>4+0+2+2</f>
        <v>8</v>
      </c>
      <c r="H5" s="21">
        <f t="shared" ref="H5:H7" si="4">F5+G5</f>
        <v>29</v>
      </c>
      <c r="I5" s="21">
        <f t="shared" ref="I5:J5" si="1">C5+F5</f>
        <v>24</v>
      </c>
      <c r="J5" s="21">
        <f t="shared" si="1"/>
        <v>21</v>
      </c>
      <c r="K5" s="21">
        <f t="shared" ref="K5:K7" si="6">I5+J5</f>
        <v>45</v>
      </c>
      <c r="L5" s="20" t="s">
        <v>40</v>
      </c>
      <c r="M5" s="23">
        <f t="shared" ref="M5:M7" si="7">((P5/1000000)*0.4)+((Q5/1000000)*1.6)</f>
        <v>0.5595124</v>
      </c>
      <c r="N5" s="25">
        <f t="shared" ref="N5:N7" si="8">P5+Q5</f>
        <v>1287247</v>
      </c>
      <c r="O5" s="26">
        <v>84.0</v>
      </c>
      <c r="P5" s="27">
        <v>1250069.0</v>
      </c>
      <c r="Q5" s="27">
        <v>37178.0</v>
      </c>
      <c r="S5" s="2" t="s">
        <v>73</v>
      </c>
    </row>
    <row r="6" ht="22.5" customHeight="1">
      <c r="A6" s="20">
        <v>2.0</v>
      </c>
      <c r="B6" s="20" t="s">
        <v>45</v>
      </c>
      <c r="C6" s="21">
        <f t="shared" si="2"/>
        <v>3</v>
      </c>
      <c r="D6" s="20">
        <v>0.0</v>
      </c>
      <c r="E6" s="21">
        <f t="shared" si="3"/>
        <v>3</v>
      </c>
      <c r="F6" s="21">
        <f>8+0+10+0</f>
        <v>18</v>
      </c>
      <c r="G6" s="20">
        <v>0.0</v>
      </c>
      <c r="H6" s="21">
        <f t="shared" si="4"/>
        <v>18</v>
      </c>
      <c r="I6" s="21">
        <f t="shared" ref="I6:J6" si="5">C6+F6</f>
        <v>21</v>
      </c>
      <c r="J6" s="21">
        <f t="shared" si="5"/>
        <v>0</v>
      </c>
      <c r="K6" s="21">
        <f t="shared" si="6"/>
        <v>21</v>
      </c>
      <c r="L6" s="20" t="s">
        <v>48</v>
      </c>
      <c r="M6" s="23">
        <f t="shared" si="7"/>
        <v>0.0906424</v>
      </c>
      <c r="N6" s="25">
        <f t="shared" si="8"/>
        <v>167176</v>
      </c>
      <c r="O6" s="26">
        <v>36.0</v>
      </c>
      <c r="P6" s="27">
        <v>147366.0</v>
      </c>
      <c r="Q6" s="27">
        <v>19810.0</v>
      </c>
      <c r="S6" s="2" t="s">
        <v>73</v>
      </c>
    </row>
    <row r="7" ht="22.5" customHeight="1">
      <c r="A7" s="20">
        <v>3.0</v>
      </c>
      <c r="B7" s="20" t="s">
        <v>50</v>
      </c>
      <c r="C7" s="21">
        <f>1+0+0+0</f>
        <v>1</v>
      </c>
      <c r="D7" s="20">
        <v>0.0</v>
      </c>
      <c r="E7" s="21">
        <f t="shared" si="3"/>
        <v>1</v>
      </c>
      <c r="F7" s="21">
        <f>3+1+1+0</f>
        <v>5</v>
      </c>
      <c r="G7" s="20">
        <v>0.0</v>
      </c>
      <c r="H7" s="21">
        <f t="shared" si="4"/>
        <v>5</v>
      </c>
      <c r="I7" s="21">
        <f t="shared" ref="I7:J7" si="9">C7+F7</f>
        <v>6</v>
      </c>
      <c r="J7" s="21">
        <f t="shared" si="9"/>
        <v>0</v>
      </c>
      <c r="K7" s="21">
        <f t="shared" si="6"/>
        <v>6</v>
      </c>
      <c r="L7" s="20" t="s">
        <v>52</v>
      </c>
      <c r="M7" s="23">
        <f t="shared" si="7"/>
        <v>0.4091236</v>
      </c>
      <c r="N7" s="25">
        <f t="shared" si="8"/>
        <v>1007209</v>
      </c>
      <c r="O7" s="26">
        <v>33.0</v>
      </c>
      <c r="P7" s="27">
        <v>1002009.0</v>
      </c>
      <c r="Q7" s="27">
        <v>5200.0</v>
      </c>
      <c r="S7" s="2" t="s">
        <v>73</v>
      </c>
      <c r="V7" s="2" t="s">
        <v>96</v>
      </c>
    </row>
    <row r="11">
      <c r="A11" s="2"/>
      <c r="B11" s="2"/>
      <c r="C11" s="13" t="s">
        <v>104</v>
      </c>
      <c r="O11" s="2" t="s">
        <v>105</v>
      </c>
      <c r="P11" s="2" t="s">
        <v>107</v>
      </c>
    </row>
    <row r="12">
      <c r="A12" s="7"/>
      <c r="B12" s="7"/>
      <c r="C12" s="7"/>
      <c r="D12" s="7"/>
      <c r="E12" s="7"/>
      <c r="F12" s="7"/>
      <c r="G12" s="7"/>
      <c r="H12" s="7"/>
      <c r="I12" s="7"/>
      <c r="J12" s="7"/>
      <c r="K12" s="7"/>
      <c r="L12" s="7"/>
      <c r="M12" s="7"/>
      <c r="N12" s="7"/>
      <c r="P12" s="2" t="s">
        <v>111</v>
      </c>
    </row>
    <row r="13" ht="22.5" customHeight="1">
      <c r="A13" s="18" t="s">
        <v>12</v>
      </c>
      <c r="B13" s="18" t="s">
        <v>15</v>
      </c>
      <c r="C13" s="18" t="s">
        <v>16</v>
      </c>
      <c r="D13" s="18" t="s">
        <v>17</v>
      </c>
      <c r="E13" s="18" t="s">
        <v>18</v>
      </c>
      <c r="F13" s="18" t="s">
        <v>19</v>
      </c>
      <c r="G13" s="18" t="s">
        <v>20</v>
      </c>
      <c r="H13" s="18" t="s">
        <v>21</v>
      </c>
      <c r="I13" s="18" t="s">
        <v>22</v>
      </c>
      <c r="J13" s="18" t="s">
        <v>23</v>
      </c>
      <c r="K13" s="18" t="s">
        <v>24</v>
      </c>
      <c r="L13" s="18" t="s">
        <v>25</v>
      </c>
      <c r="M13" s="18" t="s">
        <v>26</v>
      </c>
      <c r="N13" s="18" t="s">
        <v>27</v>
      </c>
      <c r="O13" s="19" t="s">
        <v>28</v>
      </c>
      <c r="P13" s="19" t="s">
        <v>29</v>
      </c>
      <c r="Q13" s="19" t="s">
        <v>30</v>
      </c>
    </row>
    <row r="14" ht="22.5" customHeight="1">
      <c r="A14" s="20">
        <v>1.0</v>
      </c>
      <c r="B14" s="20" t="s">
        <v>31</v>
      </c>
      <c r="C14" s="20">
        <v>5.0</v>
      </c>
      <c r="D14" s="20">
        <v>21.0</v>
      </c>
      <c r="E14" s="21">
        <f t="shared" ref="E14:E16" si="11">C14+D14</f>
        <v>26</v>
      </c>
      <c r="F14" s="20">
        <v>29.0</v>
      </c>
      <c r="G14" s="20">
        <v>8.0</v>
      </c>
      <c r="H14" s="21">
        <f t="shared" ref="H14:H16" si="12">F14+G14</f>
        <v>37</v>
      </c>
      <c r="I14" s="21">
        <f t="shared" ref="I14:J14" si="10">F14+C14</f>
        <v>34</v>
      </c>
      <c r="J14" s="21">
        <f t="shared" si="10"/>
        <v>29</v>
      </c>
      <c r="K14" s="21">
        <f t="shared" ref="K14:K16" si="14">I14+J14</f>
        <v>63</v>
      </c>
      <c r="L14" s="20" t="s">
        <v>58</v>
      </c>
      <c r="M14" s="23">
        <f t="shared" ref="M14:M16" si="15">((P14/1000000)*0.28)+((Q14/1000000)*0.4)</f>
        <v>2.4390618</v>
      </c>
      <c r="N14" s="40">
        <f t="shared" ref="N14:N16" si="16">P14+Q14</f>
        <v>8667177</v>
      </c>
      <c r="O14" s="26">
        <v>93.0</v>
      </c>
      <c r="P14" s="27">
        <v>8565075.0</v>
      </c>
      <c r="Q14" s="27">
        <v>102102.0</v>
      </c>
      <c r="S14" s="2" t="s">
        <v>133</v>
      </c>
    </row>
    <row r="15" ht="22.5" customHeight="1">
      <c r="A15" s="20">
        <v>2.0</v>
      </c>
      <c r="B15" s="20" t="s">
        <v>45</v>
      </c>
      <c r="C15" s="20">
        <v>3.0</v>
      </c>
      <c r="D15" s="20">
        <v>0.0</v>
      </c>
      <c r="E15" s="21">
        <f t="shared" si="11"/>
        <v>3</v>
      </c>
      <c r="F15" s="20">
        <v>28.0</v>
      </c>
      <c r="G15" s="20">
        <v>0.0</v>
      </c>
      <c r="H15" s="21">
        <f t="shared" si="12"/>
        <v>28</v>
      </c>
      <c r="I15" s="21">
        <f t="shared" ref="I15:J15" si="13">F15+C15</f>
        <v>31</v>
      </c>
      <c r="J15" s="21">
        <f t="shared" si="13"/>
        <v>0</v>
      </c>
      <c r="K15" s="21">
        <f t="shared" si="14"/>
        <v>31</v>
      </c>
      <c r="L15" s="20" t="s">
        <v>63</v>
      </c>
      <c r="M15" s="23">
        <f t="shared" si="15"/>
        <v>0.30701028</v>
      </c>
      <c r="N15" s="25">
        <f t="shared" si="16"/>
        <v>1039926</v>
      </c>
      <c r="O15" s="26">
        <v>44.0</v>
      </c>
      <c r="P15" s="27">
        <v>908001.0</v>
      </c>
      <c r="Q15" s="27">
        <v>131925.0</v>
      </c>
      <c r="S15" s="2" t="s">
        <v>143</v>
      </c>
    </row>
    <row r="16" ht="22.5" customHeight="1">
      <c r="A16" s="20">
        <v>3.0</v>
      </c>
      <c r="B16" s="20" t="s">
        <v>50</v>
      </c>
      <c r="C16" s="20">
        <v>0.0</v>
      </c>
      <c r="D16" s="20">
        <v>0.0</v>
      </c>
      <c r="E16" s="21">
        <f t="shared" si="11"/>
        <v>0</v>
      </c>
      <c r="F16" s="20">
        <v>1.0</v>
      </c>
      <c r="G16" s="20">
        <v>0.0</v>
      </c>
      <c r="H16" s="21">
        <f t="shared" si="12"/>
        <v>1</v>
      </c>
      <c r="I16" s="21">
        <f t="shared" ref="I16:J16" si="17">F16+C16</f>
        <v>1</v>
      </c>
      <c r="J16" s="21">
        <f t="shared" si="17"/>
        <v>0</v>
      </c>
      <c r="K16" s="21">
        <f t="shared" si="14"/>
        <v>1</v>
      </c>
      <c r="L16" s="20" t="s">
        <v>67</v>
      </c>
      <c r="M16" s="23">
        <f t="shared" si="15"/>
        <v>1.04955572</v>
      </c>
      <c r="N16" s="40">
        <f t="shared" si="16"/>
        <v>3738206</v>
      </c>
      <c r="O16" s="26">
        <v>14.0</v>
      </c>
      <c r="P16" s="27">
        <v>3714389.0</v>
      </c>
      <c r="Q16" s="27">
        <v>23817.0</v>
      </c>
      <c r="S16" s="2" t="s">
        <v>73</v>
      </c>
      <c r="V16" s="2" t="s">
        <v>152</v>
      </c>
    </row>
    <row r="20">
      <c r="A20" s="2"/>
      <c r="B20" s="2"/>
      <c r="C20" s="13" t="s">
        <v>109</v>
      </c>
      <c r="O20" s="2" t="s">
        <v>105</v>
      </c>
      <c r="P20" s="2" t="s">
        <v>157</v>
      </c>
    </row>
    <row r="21">
      <c r="A21" s="7"/>
      <c r="B21" s="7"/>
      <c r="C21" s="7"/>
      <c r="D21" s="7"/>
      <c r="E21" s="7"/>
      <c r="F21" s="7"/>
      <c r="G21" s="7"/>
      <c r="H21" s="7"/>
      <c r="I21" s="7"/>
      <c r="J21" s="7"/>
      <c r="K21" s="7"/>
      <c r="L21" s="7"/>
      <c r="M21" s="7"/>
      <c r="N21" s="7"/>
      <c r="P21" s="2" t="s">
        <v>158</v>
      </c>
    </row>
    <row r="22" ht="22.5" customHeight="1">
      <c r="A22" s="18" t="s">
        <v>12</v>
      </c>
      <c r="B22" s="18" t="s">
        <v>15</v>
      </c>
      <c r="C22" s="18" t="s">
        <v>16</v>
      </c>
      <c r="D22" s="18" t="s">
        <v>17</v>
      </c>
      <c r="E22" s="18" t="s">
        <v>18</v>
      </c>
      <c r="F22" s="18" t="s">
        <v>19</v>
      </c>
      <c r="G22" s="18" t="s">
        <v>20</v>
      </c>
      <c r="H22" s="18" t="s">
        <v>21</v>
      </c>
      <c r="I22" s="18" t="s">
        <v>22</v>
      </c>
      <c r="J22" s="18" t="s">
        <v>23</v>
      </c>
      <c r="K22" s="18" t="s">
        <v>24</v>
      </c>
      <c r="L22" s="18" t="s">
        <v>25</v>
      </c>
      <c r="M22" s="18" t="s">
        <v>26</v>
      </c>
      <c r="N22" s="18" t="s">
        <v>27</v>
      </c>
      <c r="O22" s="19" t="s">
        <v>28</v>
      </c>
      <c r="P22" s="19" t="s">
        <v>29</v>
      </c>
      <c r="Q22" s="19" t="s">
        <v>30</v>
      </c>
    </row>
    <row r="23" ht="22.5" customHeight="1">
      <c r="A23" s="20">
        <v>1.0</v>
      </c>
      <c r="B23" s="20" t="s">
        <v>31</v>
      </c>
      <c r="C23" s="20">
        <v>3.0</v>
      </c>
      <c r="D23" s="20">
        <v>22.0</v>
      </c>
      <c r="E23" s="21">
        <f t="shared" ref="E23:E25" si="19">C23+D23</f>
        <v>25</v>
      </c>
      <c r="F23" s="20">
        <v>17.0</v>
      </c>
      <c r="G23" s="20">
        <v>4.0</v>
      </c>
      <c r="H23" s="21">
        <f t="shared" ref="H23:H25" si="20">F23+G23</f>
        <v>21</v>
      </c>
      <c r="I23" s="21">
        <f t="shared" ref="I23:J23" si="18">C23+F23</f>
        <v>20</v>
      </c>
      <c r="J23" s="20">
        <f t="shared" si="18"/>
        <v>26</v>
      </c>
      <c r="K23" s="21">
        <f t="shared" ref="K23:K25" si="22">J23+I23</f>
        <v>46</v>
      </c>
      <c r="L23" s="20" t="s">
        <v>78</v>
      </c>
      <c r="M23" s="21">
        <f t="shared" ref="M23:M25" si="23">((P23/1000000)*0.6)+((Q23/1000000)*3)</f>
        <v>0.9140562</v>
      </c>
      <c r="N23" s="40">
        <f t="shared" ref="N23:N25" si="24">P23+Q23</f>
        <v>1285523</v>
      </c>
      <c r="O23" s="26">
        <v>53.0</v>
      </c>
      <c r="P23" s="45">
        <v>1226047.0</v>
      </c>
      <c r="Q23" s="45">
        <v>59476.0</v>
      </c>
    </row>
    <row r="24" ht="22.5" customHeight="1">
      <c r="A24" s="20">
        <v>2.0</v>
      </c>
      <c r="B24" s="20" t="s">
        <v>45</v>
      </c>
      <c r="C24" s="20">
        <v>2.0</v>
      </c>
      <c r="D24" s="20">
        <v>0.0</v>
      </c>
      <c r="E24" s="21">
        <f t="shared" si="19"/>
        <v>2</v>
      </c>
      <c r="F24" s="20">
        <v>17.0</v>
      </c>
      <c r="G24" s="20">
        <v>0.0</v>
      </c>
      <c r="H24" s="21">
        <f t="shared" si="20"/>
        <v>17</v>
      </c>
      <c r="I24" s="21">
        <f t="shared" ref="I24:J24" si="21">C24+F24</f>
        <v>19</v>
      </c>
      <c r="J24" s="20">
        <f t="shared" si="21"/>
        <v>0</v>
      </c>
      <c r="K24" s="21">
        <f t="shared" si="22"/>
        <v>19</v>
      </c>
      <c r="L24" s="20" t="s">
        <v>82</v>
      </c>
      <c r="M24" s="21">
        <f t="shared" si="23"/>
        <v>0.365214</v>
      </c>
      <c r="N24" s="40">
        <f t="shared" si="24"/>
        <v>592602</v>
      </c>
      <c r="O24" s="26">
        <v>27.0</v>
      </c>
      <c r="P24" s="27">
        <v>588580.0</v>
      </c>
      <c r="Q24" s="27">
        <v>4022.0</v>
      </c>
      <c r="V24" s="2" t="s">
        <v>152</v>
      </c>
    </row>
    <row r="25" ht="22.5" customHeight="1">
      <c r="A25" s="20">
        <v>3.0</v>
      </c>
      <c r="B25" s="20" t="s">
        <v>50</v>
      </c>
      <c r="C25" s="20">
        <v>2.0</v>
      </c>
      <c r="D25" s="20">
        <v>0.0</v>
      </c>
      <c r="E25" s="21">
        <f t="shared" si="19"/>
        <v>2</v>
      </c>
      <c r="F25" s="20">
        <v>4.0</v>
      </c>
      <c r="G25" s="20">
        <v>0.0</v>
      </c>
      <c r="H25" s="21">
        <f t="shared" si="20"/>
        <v>4</v>
      </c>
      <c r="I25" s="21">
        <f t="shared" ref="I25:J25" si="25">C25+F25</f>
        <v>6</v>
      </c>
      <c r="J25" s="20">
        <f t="shared" si="25"/>
        <v>0</v>
      </c>
      <c r="K25" s="21">
        <f t="shared" si="22"/>
        <v>6</v>
      </c>
      <c r="L25" s="20" t="s">
        <v>87</v>
      </c>
      <c r="M25" s="21">
        <f t="shared" si="23"/>
        <v>0.6554874</v>
      </c>
      <c r="N25" s="40">
        <f t="shared" si="24"/>
        <v>1065259</v>
      </c>
      <c r="O25" s="26">
        <v>29.0</v>
      </c>
      <c r="P25" s="27">
        <v>1058454.0</v>
      </c>
      <c r="Q25" s="27">
        <v>6805.0</v>
      </c>
      <c r="V25" s="2" t="s">
        <v>152</v>
      </c>
    </row>
    <row r="28">
      <c r="A28" s="5" t="s">
        <v>212</v>
      </c>
    </row>
    <row r="29">
      <c r="A29" s="5" t="s">
        <v>13</v>
      </c>
      <c r="B29" s="5" t="s">
        <v>213</v>
      </c>
      <c r="C29" s="5" t="s">
        <v>214</v>
      </c>
      <c r="D29" s="5" t="s">
        <v>215</v>
      </c>
      <c r="E29" s="5" t="s">
        <v>216</v>
      </c>
      <c r="F29" s="5" t="s">
        <v>217</v>
      </c>
      <c r="G29" s="5" t="s">
        <v>218</v>
      </c>
      <c r="H29" s="6" t="s">
        <v>220</v>
      </c>
      <c r="I29" s="5" t="s">
        <v>222</v>
      </c>
      <c r="K29" s="6" t="s">
        <v>223</v>
      </c>
      <c r="L29" s="2">
        <v>75.0</v>
      </c>
      <c r="N29" s="5" t="s">
        <v>224</v>
      </c>
      <c r="O29" s="15">
        <f>COUNTIF(G30:G104,"Y")</f>
        <v>35</v>
      </c>
      <c r="P29" s="2">
        <v>114.0</v>
      </c>
      <c r="Q29" s="15">
        <f t="shared" ref="Q29:Q30" si="26">O29+P29</f>
        <v>149</v>
      </c>
    </row>
    <row r="30">
      <c r="A30" s="2">
        <v>1.0</v>
      </c>
      <c r="B30" s="7" t="s">
        <v>229</v>
      </c>
      <c r="C30" s="2" t="s">
        <v>230</v>
      </c>
      <c r="D30" s="2" t="s">
        <v>231</v>
      </c>
      <c r="E30" s="2">
        <v>9.0</v>
      </c>
      <c r="F30" s="2">
        <v>40.0</v>
      </c>
      <c r="H30" s="7" t="s">
        <v>232</v>
      </c>
      <c r="I30" s="49" t="s">
        <v>233</v>
      </c>
      <c r="N30" s="5" t="s">
        <v>235</v>
      </c>
      <c r="O30" s="15">
        <f>L29-O29</f>
        <v>40</v>
      </c>
      <c r="P30" s="2">
        <v>11.0</v>
      </c>
      <c r="Q30" s="15">
        <f t="shared" si="26"/>
        <v>51</v>
      </c>
    </row>
    <row r="31">
      <c r="A31" s="2">
        <v>2.0</v>
      </c>
      <c r="B31" s="7" t="s">
        <v>238</v>
      </c>
      <c r="C31" s="2" t="s">
        <v>230</v>
      </c>
      <c r="D31" s="2" t="s">
        <v>239</v>
      </c>
      <c r="E31" s="2">
        <v>29.0</v>
      </c>
      <c r="F31" s="2">
        <v>30.0</v>
      </c>
      <c r="H31" s="7" t="s">
        <v>232</v>
      </c>
      <c r="I31" s="49" t="s">
        <v>240</v>
      </c>
      <c r="L31" s="5" t="s">
        <v>241</v>
      </c>
      <c r="M31" s="5" t="s">
        <v>242</v>
      </c>
      <c r="N31" s="5" t="s">
        <v>24</v>
      </c>
      <c r="Q31" s="15">
        <f>Q29/200</f>
        <v>0.745</v>
      </c>
    </row>
    <row r="32">
      <c r="A32" s="2">
        <v>3.0</v>
      </c>
      <c r="B32" s="7" t="s">
        <v>244</v>
      </c>
      <c r="C32" s="2" t="s">
        <v>230</v>
      </c>
      <c r="D32" s="2" t="s">
        <v>239</v>
      </c>
      <c r="E32" s="2">
        <v>33.0</v>
      </c>
      <c r="F32" s="2">
        <v>34.0</v>
      </c>
      <c r="H32" s="7" t="s">
        <v>232</v>
      </c>
      <c r="I32" s="49" t="s">
        <v>247</v>
      </c>
      <c r="K32" s="6" t="s">
        <v>248</v>
      </c>
      <c r="L32" s="2">
        <v>0.0</v>
      </c>
      <c r="M32" s="2">
        <v>4.0</v>
      </c>
      <c r="N32" s="2">
        <v>4.0</v>
      </c>
      <c r="P32" s="51"/>
    </row>
    <row r="33">
      <c r="A33" s="2">
        <v>4.0</v>
      </c>
      <c r="B33" s="7" t="s">
        <v>249</v>
      </c>
      <c r="C33" s="2" t="s">
        <v>230</v>
      </c>
      <c r="D33" s="2" t="s">
        <v>239</v>
      </c>
      <c r="E33" s="2">
        <v>56.0</v>
      </c>
      <c r="F33" s="2">
        <v>59.0</v>
      </c>
      <c r="H33" s="2" t="s">
        <v>250</v>
      </c>
      <c r="I33" s="49" t="s">
        <v>251</v>
      </c>
      <c r="K33" s="6" t="s">
        <v>253</v>
      </c>
      <c r="L33" s="2">
        <v>6.0</v>
      </c>
      <c r="M33" s="2">
        <v>7.0</v>
      </c>
      <c r="N33" s="2">
        <v>13.0</v>
      </c>
    </row>
    <row r="34">
      <c r="A34" s="2">
        <v>5.0</v>
      </c>
      <c r="B34" s="7" t="s">
        <v>254</v>
      </c>
      <c r="C34" s="2" t="s">
        <v>230</v>
      </c>
      <c r="D34" s="2" t="s">
        <v>239</v>
      </c>
      <c r="E34" s="2">
        <v>70.0</v>
      </c>
      <c r="F34" s="2">
        <v>73.0</v>
      </c>
      <c r="H34" s="2" t="s">
        <v>255</v>
      </c>
      <c r="I34" s="49" t="s">
        <v>256</v>
      </c>
      <c r="K34" s="6" t="s">
        <v>257</v>
      </c>
      <c r="L34" s="2">
        <v>0.0</v>
      </c>
      <c r="M34" s="2">
        <v>3.0</v>
      </c>
      <c r="N34" s="2">
        <v>3.0</v>
      </c>
    </row>
    <row r="35">
      <c r="A35" s="2">
        <v>6.0</v>
      </c>
      <c r="B35" s="7" t="s">
        <v>254</v>
      </c>
      <c r="C35" s="2" t="s">
        <v>258</v>
      </c>
      <c r="D35" s="2" t="s">
        <v>259</v>
      </c>
      <c r="E35" s="2">
        <v>71.0</v>
      </c>
      <c r="F35" s="2">
        <v>76.0</v>
      </c>
      <c r="H35" s="2" t="s">
        <v>260</v>
      </c>
      <c r="I35" s="49" t="s">
        <v>261</v>
      </c>
      <c r="K35" s="6" t="s">
        <v>262</v>
      </c>
      <c r="L35" s="2">
        <v>9.0</v>
      </c>
      <c r="M35" s="2">
        <v>3.0</v>
      </c>
      <c r="N35" s="2">
        <v>12.0</v>
      </c>
    </row>
    <row r="36">
      <c r="A36" s="2">
        <v>7.0</v>
      </c>
      <c r="B36" s="7" t="s">
        <v>238</v>
      </c>
      <c r="C36" s="2" t="s">
        <v>258</v>
      </c>
      <c r="D36" s="2" t="s">
        <v>264</v>
      </c>
      <c r="E36" s="2">
        <v>83.0</v>
      </c>
      <c r="F36" s="2">
        <v>84.0</v>
      </c>
      <c r="H36" s="2" t="s">
        <v>250</v>
      </c>
      <c r="I36" s="49" t="s">
        <v>265</v>
      </c>
      <c r="K36" s="6" t="s">
        <v>229</v>
      </c>
      <c r="L36" s="2">
        <v>0.0</v>
      </c>
      <c r="M36" s="2">
        <v>5.0</v>
      </c>
      <c r="N36" s="2">
        <v>5.0</v>
      </c>
    </row>
    <row r="37">
      <c r="A37" s="2">
        <v>8.0</v>
      </c>
      <c r="B37" s="7" t="s">
        <v>267</v>
      </c>
      <c r="C37" s="2" t="s">
        <v>258</v>
      </c>
      <c r="D37" s="2" t="s">
        <v>259</v>
      </c>
      <c r="E37" s="2">
        <v>91.0</v>
      </c>
      <c r="F37" s="2">
        <v>93.0</v>
      </c>
      <c r="H37" s="7" t="s">
        <v>232</v>
      </c>
      <c r="I37" s="49" t="s">
        <v>268</v>
      </c>
      <c r="K37" s="6" t="s">
        <v>238</v>
      </c>
      <c r="L37" s="2">
        <v>5.0</v>
      </c>
      <c r="M37" s="2">
        <v>9.0</v>
      </c>
      <c r="N37" s="2">
        <v>14.0</v>
      </c>
    </row>
    <row r="38">
      <c r="A38" s="2">
        <v>9.0</v>
      </c>
      <c r="B38" s="7" t="s">
        <v>262</v>
      </c>
      <c r="C38" s="2" t="s">
        <v>258</v>
      </c>
      <c r="D38" s="2" t="s">
        <v>259</v>
      </c>
      <c r="E38" s="2">
        <v>102.0</v>
      </c>
      <c r="F38" s="2">
        <v>106.0</v>
      </c>
      <c r="G38" s="2"/>
      <c r="H38" s="2" t="s">
        <v>255</v>
      </c>
      <c r="I38" s="49" t="s">
        <v>270</v>
      </c>
      <c r="K38" s="6" t="s">
        <v>254</v>
      </c>
      <c r="L38" s="2">
        <v>14.0</v>
      </c>
      <c r="M38" s="2">
        <v>10.0</v>
      </c>
      <c r="N38" s="2">
        <v>24.0</v>
      </c>
    </row>
    <row r="39">
      <c r="A39" s="2">
        <v>10.0</v>
      </c>
      <c r="B39" s="7" t="s">
        <v>238</v>
      </c>
      <c r="C39" s="2" t="s">
        <v>230</v>
      </c>
      <c r="D39" s="2" t="s">
        <v>239</v>
      </c>
      <c r="E39" s="2">
        <v>121.0</v>
      </c>
      <c r="F39" s="2">
        <v>123.0</v>
      </c>
      <c r="G39" s="2"/>
      <c r="H39" s="2" t="s">
        <v>260</v>
      </c>
      <c r="I39" s="49" t="s">
        <v>271</v>
      </c>
    </row>
    <row r="40">
      <c r="A40" s="2">
        <v>11.0</v>
      </c>
      <c r="B40" s="7" t="s">
        <v>272</v>
      </c>
      <c r="C40" s="2" t="s">
        <v>230</v>
      </c>
      <c r="D40" s="2" t="s">
        <v>231</v>
      </c>
      <c r="E40" s="2">
        <v>169.0</v>
      </c>
      <c r="F40" s="2">
        <v>173.0</v>
      </c>
      <c r="G40" s="2" t="s">
        <v>32</v>
      </c>
      <c r="H40" s="2" t="s">
        <v>250</v>
      </c>
      <c r="I40" s="49" t="s">
        <v>274</v>
      </c>
    </row>
    <row r="41">
      <c r="A41" s="2">
        <v>12.0</v>
      </c>
      <c r="B41" s="7" t="s">
        <v>238</v>
      </c>
      <c r="C41" s="2" t="s">
        <v>230</v>
      </c>
      <c r="D41" s="2" t="s">
        <v>239</v>
      </c>
      <c r="E41" s="2">
        <v>182.0</v>
      </c>
      <c r="F41" s="2">
        <v>184.0</v>
      </c>
      <c r="G41" s="2"/>
      <c r="H41" s="2" t="s">
        <v>255</v>
      </c>
      <c r="I41" s="49" t="s">
        <v>276</v>
      </c>
    </row>
    <row r="42">
      <c r="A42" s="2">
        <v>13.0</v>
      </c>
      <c r="B42" s="7" t="s">
        <v>229</v>
      </c>
      <c r="C42" s="2" t="s">
        <v>230</v>
      </c>
      <c r="D42" s="2" t="s">
        <v>239</v>
      </c>
      <c r="E42" s="2">
        <v>159.0</v>
      </c>
      <c r="F42" s="2">
        <v>187.0</v>
      </c>
      <c r="G42" s="2"/>
      <c r="H42" s="7" t="s">
        <v>232</v>
      </c>
      <c r="I42" s="49" t="s">
        <v>278</v>
      </c>
      <c r="K42" s="15" t="str">
        <f t="array" ref="K42:K51">UNIQUE(D30:D104)</f>
        <v>gpt-engineer</v>
      </c>
      <c r="L42" s="15">
        <f t="shared" ref="L42:L51" si="27">COUNTIF($D$30:$D$104,K42)</f>
        <v>10</v>
      </c>
    </row>
    <row r="43">
      <c r="A43" s="2">
        <v>14.0</v>
      </c>
      <c r="B43" s="7" t="s">
        <v>254</v>
      </c>
      <c r="C43" s="2" t="s">
        <v>258</v>
      </c>
      <c r="D43" s="2" t="s">
        <v>259</v>
      </c>
      <c r="E43" s="2">
        <v>194.0</v>
      </c>
      <c r="F43" s="2">
        <v>197.0</v>
      </c>
      <c r="G43" s="2" t="s">
        <v>32</v>
      </c>
      <c r="H43" s="2" t="s">
        <v>260</v>
      </c>
      <c r="I43" s="49" t="s">
        <v>284</v>
      </c>
      <c r="K43" s="15" t="s">
        <v>239</v>
      </c>
      <c r="L43" s="15">
        <f t="shared" si="27"/>
        <v>14</v>
      </c>
    </row>
    <row r="44">
      <c r="A44" s="2">
        <v>15.0</v>
      </c>
      <c r="B44" s="7" t="s">
        <v>244</v>
      </c>
      <c r="C44" s="2" t="s">
        <v>258</v>
      </c>
      <c r="D44" s="2" t="s">
        <v>259</v>
      </c>
      <c r="E44" s="2">
        <v>196.0</v>
      </c>
      <c r="F44" s="2">
        <v>212.0</v>
      </c>
      <c r="H44" s="7" t="s">
        <v>232</v>
      </c>
      <c r="I44" s="49" t="s">
        <v>286</v>
      </c>
      <c r="K44" s="15" t="s">
        <v>259</v>
      </c>
      <c r="L44" s="15">
        <f t="shared" si="27"/>
        <v>16</v>
      </c>
    </row>
    <row r="45">
      <c r="A45" s="2">
        <v>16.0</v>
      </c>
      <c r="B45" s="7" t="s">
        <v>267</v>
      </c>
      <c r="C45" s="2" t="s">
        <v>230</v>
      </c>
      <c r="D45" s="2" t="s">
        <v>239</v>
      </c>
      <c r="E45" s="2">
        <v>174.0</v>
      </c>
      <c r="F45" s="2">
        <v>217.0</v>
      </c>
      <c r="H45" s="2" t="s">
        <v>250</v>
      </c>
      <c r="I45" s="49" t="s">
        <v>287</v>
      </c>
      <c r="K45" s="15" t="s">
        <v>264</v>
      </c>
      <c r="L45" s="15">
        <f t="shared" si="27"/>
        <v>2</v>
      </c>
    </row>
    <row r="46">
      <c r="A46" s="2">
        <v>17.0</v>
      </c>
      <c r="B46" s="7" t="s">
        <v>229</v>
      </c>
      <c r="C46" s="2" t="s">
        <v>230</v>
      </c>
      <c r="D46" s="2" t="s">
        <v>239</v>
      </c>
      <c r="E46" s="2">
        <v>166.0</v>
      </c>
      <c r="F46" s="2">
        <v>230.0</v>
      </c>
      <c r="H46" s="2" t="s">
        <v>250</v>
      </c>
      <c r="I46" s="49" t="s">
        <v>289</v>
      </c>
      <c r="K46" s="15" t="s">
        <v>290</v>
      </c>
      <c r="L46" s="15">
        <f t="shared" si="27"/>
        <v>2</v>
      </c>
    </row>
    <row r="47">
      <c r="A47" s="2">
        <v>18.0</v>
      </c>
      <c r="B47" s="7" t="s">
        <v>244</v>
      </c>
      <c r="C47" s="2" t="s">
        <v>230</v>
      </c>
      <c r="D47" s="2" t="s">
        <v>239</v>
      </c>
      <c r="E47" s="2">
        <v>259.0</v>
      </c>
      <c r="F47" s="2">
        <v>262.0</v>
      </c>
      <c r="H47" s="2" t="s">
        <v>255</v>
      </c>
      <c r="I47" s="49" t="s">
        <v>291</v>
      </c>
      <c r="K47" s="15" t="s">
        <v>292</v>
      </c>
      <c r="L47" s="15">
        <f t="shared" si="27"/>
        <v>7</v>
      </c>
    </row>
    <row r="48">
      <c r="A48" s="2">
        <v>19.0</v>
      </c>
      <c r="B48" s="7" t="s">
        <v>254</v>
      </c>
      <c r="C48" s="2" t="s">
        <v>230</v>
      </c>
      <c r="D48" s="2" t="s">
        <v>239</v>
      </c>
      <c r="E48" s="2">
        <v>266.0</v>
      </c>
      <c r="F48" s="2">
        <v>269.0</v>
      </c>
      <c r="H48" s="2" t="s">
        <v>260</v>
      </c>
      <c r="I48" s="49" t="s">
        <v>293</v>
      </c>
      <c r="K48" s="15" t="s">
        <v>294</v>
      </c>
      <c r="L48" s="15">
        <f t="shared" si="27"/>
        <v>1</v>
      </c>
    </row>
    <row r="49">
      <c r="A49" s="2">
        <v>20.0</v>
      </c>
      <c r="B49" s="7" t="s">
        <v>229</v>
      </c>
      <c r="C49" s="2" t="s">
        <v>230</v>
      </c>
      <c r="D49" s="2" t="s">
        <v>239</v>
      </c>
      <c r="E49" s="2">
        <v>270.0</v>
      </c>
      <c r="F49" s="2">
        <v>271.0</v>
      </c>
      <c r="H49" s="2" t="s">
        <v>260</v>
      </c>
      <c r="I49" s="49" t="s">
        <v>295</v>
      </c>
      <c r="K49" s="15" t="s">
        <v>296</v>
      </c>
      <c r="L49" s="15">
        <f t="shared" si="27"/>
        <v>16</v>
      </c>
    </row>
    <row r="50">
      <c r="A50" s="2">
        <v>21.0</v>
      </c>
      <c r="B50" s="7" t="s">
        <v>238</v>
      </c>
      <c r="C50" s="2" t="s">
        <v>230</v>
      </c>
      <c r="D50" s="2" t="s">
        <v>239</v>
      </c>
      <c r="E50" s="2">
        <v>273.0</v>
      </c>
      <c r="F50" s="2">
        <v>274.0</v>
      </c>
      <c r="H50" s="2" t="s">
        <v>260</v>
      </c>
      <c r="I50" s="49" t="s">
        <v>297</v>
      </c>
      <c r="K50" s="15" t="s">
        <v>298</v>
      </c>
      <c r="L50" s="15">
        <f t="shared" si="27"/>
        <v>2</v>
      </c>
    </row>
    <row r="51">
      <c r="A51" s="2">
        <v>22.0</v>
      </c>
      <c r="B51" s="7" t="s">
        <v>254</v>
      </c>
      <c r="C51" s="2" t="s">
        <v>258</v>
      </c>
      <c r="D51" s="2" t="s">
        <v>264</v>
      </c>
      <c r="E51" s="2">
        <v>209.0</v>
      </c>
      <c r="F51" s="2">
        <v>279.0</v>
      </c>
      <c r="H51" s="7" t="s">
        <v>232</v>
      </c>
      <c r="I51" s="49" t="s">
        <v>301</v>
      </c>
      <c r="K51" s="15" t="s">
        <v>302</v>
      </c>
      <c r="L51" s="15">
        <f t="shared" si="27"/>
        <v>5</v>
      </c>
    </row>
    <row r="52">
      <c r="A52" s="2">
        <v>23.0</v>
      </c>
      <c r="B52" s="7" t="s">
        <v>244</v>
      </c>
      <c r="C52" s="2" t="s">
        <v>230</v>
      </c>
      <c r="D52" s="2" t="s">
        <v>239</v>
      </c>
      <c r="E52" s="2">
        <v>298.0</v>
      </c>
      <c r="F52" s="2">
        <v>310.0</v>
      </c>
      <c r="H52" s="2" t="s">
        <v>260</v>
      </c>
      <c r="I52" s="49" t="s">
        <v>303</v>
      </c>
    </row>
    <row r="53">
      <c r="A53" s="2">
        <v>24.0</v>
      </c>
      <c r="B53" s="7" t="s">
        <v>238</v>
      </c>
      <c r="C53" s="2" t="s">
        <v>230</v>
      </c>
      <c r="D53" s="2" t="s">
        <v>231</v>
      </c>
      <c r="E53" s="2">
        <v>388.0</v>
      </c>
      <c r="F53" s="2">
        <v>409.0</v>
      </c>
      <c r="G53" s="2" t="s">
        <v>32</v>
      </c>
      <c r="H53" s="2" t="s">
        <v>260</v>
      </c>
      <c r="I53" s="49" t="s">
        <v>304</v>
      </c>
    </row>
    <row r="54">
      <c r="A54" s="2">
        <v>25.0</v>
      </c>
      <c r="B54" s="7" t="s">
        <v>254</v>
      </c>
      <c r="C54" s="2" t="s">
        <v>258</v>
      </c>
      <c r="D54" s="2" t="s">
        <v>259</v>
      </c>
      <c r="E54" s="2">
        <v>411.0</v>
      </c>
      <c r="F54" s="2">
        <v>420.0</v>
      </c>
      <c r="H54" s="2" t="s">
        <v>306</v>
      </c>
      <c r="I54" s="49" t="s">
        <v>307</v>
      </c>
      <c r="K54" s="2" t="s">
        <v>252</v>
      </c>
      <c r="L54" s="15">
        <f>SUM(L42:L52)</f>
        <v>75</v>
      </c>
    </row>
    <row r="55">
      <c r="A55" s="2">
        <v>26.0</v>
      </c>
      <c r="B55" s="7" t="s">
        <v>254</v>
      </c>
      <c r="C55" s="2" t="s">
        <v>258</v>
      </c>
      <c r="D55" s="2" t="s">
        <v>259</v>
      </c>
      <c r="E55" s="2">
        <v>441.0</v>
      </c>
      <c r="F55" s="2">
        <v>443.0</v>
      </c>
      <c r="G55" s="2" t="s">
        <v>32</v>
      </c>
      <c r="H55" s="2" t="s">
        <v>260</v>
      </c>
      <c r="I55" s="49" t="s">
        <v>309</v>
      </c>
    </row>
    <row r="56">
      <c r="A56" s="2">
        <v>27.0</v>
      </c>
      <c r="B56" s="7" t="s">
        <v>267</v>
      </c>
      <c r="C56" s="2" t="s">
        <v>230</v>
      </c>
      <c r="D56" s="2" t="s">
        <v>231</v>
      </c>
      <c r="E56" s="2">
        <v>240.0</v>
      </c>
      <c r="F56" s="2">
        <v>463.0</v>
      </c>
      <c r="G56" s="2"/>
      <c r="H56" s="2" t="s">
        <v>255</v>
      </c>
      <c r="I56" s="49" t="s">
        <v>310</v>
      </c>
    </row>
    <row r="57">
      <c r="A57" s="2">
        <v>28.0</v>
      </c>
      <c r="B57" s="7" t="s">
        <v>238</v>
      </c>
      <c r="C57" s="2" t="s">
        <v>230</v>
      </c>
      <c r="D57" s="2" t="s">
        <v>231</v>
      </c>
      <c r="E57" s="2">
        <v>563.0</v>
      </c>
      <c r="F57" s="2">
        <v>568.0</v>
      </c>
      <c r="G57" s="2"/>
      <c r="H57" s="2" t="s">
        <v>260</v>
      </c>
      <c r="I57" s="49" t="s">
        <v>311</v>
      </c>
    </row>
    <row r="58">
      <c r="A58" s="2">
        <v>29.0</v>
      </c>
      <c r="B58" s="7" t="s">
        <v>249</v>
      </c>
      <c r="C58" s="2" t="s">
        <v>230</v>
      </c>
      <c r="D58" s="2" t="s">
        <v>290</v>
      </c>
      <c r="E58" s="2">
        <v>596.0</v>
      </c>
      <c r="F58" s="2">
        <v>607.0</v>
      </c>
      <c r="H58" s="2" t="s">
        <v>255</v>
      </c>
      <c r="I58" s="49" t="s">
        <v>314</v>
      </c>
    </row>
    <row r="59">
      <c r="A59" s="2">
        <v>30.0</v>
      </c>
      <c r="B59" s="7" t="s">
        <v>254</v>
      </c>
      <c r="C59" s="2" t="s">
        <v>230</v>
      </c>
      <c r="D59" s="2" t="s">
        <v>292</v>
      </c>
      <c r="E59" s="2">
        <v>700.0</v>
      </c>
      <c r="F59" s="2">
        <v>703.0</v>
      </c>
      <c r="H59" s="2" t="s">
        <v>250</v>
      </c>
      <c r="I59" s="49" t="s">
        <v>315</v>
      </c>
    </row>
    <row r="60">
      <c r="A60" s="2">
        <v>31.0</v>
      </c>
      <c r="B60" s="7" t="s">
        <v>238</v>
      </c>
      <c r="C60" s="2" t="s">
        <v>230</v>
      </c>
      <c r="D60" s="2" t="s">
        <v>231</v>
      </c>
      <c r="E60" s="2">
        <v>682.0</v>
      </c>
      <c r="F60" s="2">
        <v>727.0</v>
      </c>
      <c r="H60" s="7" t="s">
        <v>232</v>
      </c>
      <c r="I60" s="49" t="s">
        <v>316</v>
      </c>
    </row>
    <row r="61">
      <c r="A61" s="2">
        <v>32.0</v>
      </c>
      <c r="B61" s="7" t="s">
        <v>229</v>
      </c>
      <c r="C61" s="2" t="s">
        <v>258</v>
      </c>
      <c r="D61" s="2" t="s">
        <v>294</v>
      </c>
      <c r="E61" s="2">
        <v>974.0</v>
      </c>
      <c r="F61" s="2">
        <v>994.0</v>
      </c>
      <c r="G61" s="2" t="s">
        <v>32</v>
      </c>
      <c r="H61" s="2" t="s">
        <v>260</v>
      </c>
      <c r="I61" s="49" t="s">
        <v>317</v>
      </c>
    </row>
    <row r="62">
      <c r="A62" s="2">
        <v>33.0</v>
      </c>
      <c r="B62" s="7" t="s">
        <v>254</v>
      </c>
      <c r="C62" s="2" t="s">
        <v>258</v>
      </c>
      <c r="D62" s="2" t="s">
        <v>259</v>
      </c>
      <c r="E62" s="2">
        <v>959.0</v>
      </c>
      <c r="F62" s="2">
        <v>962.0</v>
      </c>
      <c r="G62" s="2" t="s">
        <v>32</v>
      </c>
      <c r="H62" s="2" t="s">
        <v>250</v>
      </c>
      <c r="I62" s="49" t="s">
        <v>318</v>
      </c>
    </row>
    <row r="63">
      <c r="A63" s="2">
        <v>34.0</v>
      </c>
      <c r="B63" s="7" t="s">
        <v>244</v>
      </c>
      <c r="C63" s="2" t="s">
        <v>230</v>
      </c>
      <c r="D63" s="2" t="s">
        <v>290</v>
      </c>
      <c r="E63" s="2">
        <v>962.0</v>
      </c>
      <c r="F63" s="2">
        <v>977.0</v>
      </c>
      <c r="G63" s="2"/>
      <c r="H63" s="2" t="s">
        <v>260</v>
      </c>
      <c r="I63" s="49" t="s">
        <v>320</v>
      </c>
    </row>
    <row r="64">
      <c r="A64" s="2">
        <v>35.0</v>
      </c>
      <c r="B64" s="7" t="s">
        <v>254</v>
      </c>
      <c r="C64" s="2" t="s">
        <v>258</v>
      </c>
      <c r="D64" s="2" t="s">
        <v>259</v>
      </c>
      <c r="E64" s="2">
        <v>1058.0</v>
      </c>
      <c r="F64" s="2">
        <v>1097.0</v>
      </c>
      <c r="G64" s="2" t="s">
        <v>32</v>
      </c>
      <c r="H64" s="2" t="s">
        <v>250</v>
      </c>
      <c r="I64" s="49" t="s">
        <v>321</v>
      </c>
    </row>
    <row r="65">
      <c r="A65" s="2">
        <v>36.0</v>
      </c>
      <c r="B65" s="7" t="s">
        <v>249</v>
      </c>
      <c r="C65" s="2" t="s">
        <v>230</v>
      </c>
      <c r="D65" s="2" t="s">
        <v>231</v>
      </c>
      <c r="E65" s="2">
        <v>1115.0</v>
      </c>
      <c r="F65" s="2">
        <v>1120.0</v>
      </c>
      <c r="G65" s="2"/>
      <c r="H65" s="2" t="s">
        <v>255</v>
      </c>
      <c r="I65" s="49" t="s">
        <v>322</v>
      </c>
    </row>
    <row r="66">
      <c r="A66" s="2">
        <v>37.0</v>
      </c>
      <c r="B66" s="7" t="s">
        <v>238</v>
      </c>
      <c r="C66" s="2" t="s">
        <v>230</v>
      </c>
      <c r="D66" s="2" t="s">
        <v>231</v>
      </c>
      <c r="E66" s="2">
        <v>1112.0</v>
      </c>
      <c r="F66" s="2">
        <v>1121.0</v>
      </c>
      <c r="G66" s="2"/>
      <c r="H66" s="2" t="s">
        <v>260</v>
      </c>
      <c r="I66" s="49" t="s">
        <v>323</v>
      </c>
    </row>
    <row r="67">
      <c r="A67" s="2">
        <v>38.0</v>
      </c>
      <c r="B67" s="7" t="s">
        <v>254</v>
      </c>
      <c r="C67" s="2" t="s">
        <v>258</v>
      </c>
      <c r="D67" s="2" t="s">
        <v>259</v>
      </c>
      <c r="E67" s="2">
        <v>1136.0</v>
      </c>
      <c r="F67" s="2">
        <v>1141.0</v>
      </c>
      <c r="G67" s="2" t="s">
        <v>32</v>
      </c>
      <c r="H67" s="2" t="s">
        <v>260</v>
      </c>
      <c r="I67" s="49" t="s">
        <v>325</v>
      </c>
    </row>
    <row r="68">
      <c r="A68" s="2">
        <v>39.0</v>
      </c>
      <c r="B68" s="7" t="s">
        <v>254</v>
      </c>
      <c r="C68" s="2" t="s">
        <v>230</v>
      </c>
      <c r="D68" s="2" t="s">
        <v>231</v>
      </c>
      <c r="E68" s="2">
        <v>1153.0</v>
      </c>
      <c r="F68" s="2">
        <v>1170.0</v>
      </c>
      <c r="G68" s="2"/>
      <c r="H68" s="2" t="s">
        <v>250</v>
      </c>
      <c r="I68" s="49" t="s">
        <v>326</v>
      </c>
    </row>
    <row r="69">
      <c r="A69" s="2">
        <v>40.0</v>
      </c>
      <c r="B69" s="7" t="s">
        <v>254</v>
      </c>
      <c r="C69" s="2" t="s">
        <v>230</v>
      </c>
      <c r="D69" s="2" t="s">
        <v>231</v>
      </c>
      <c r="E69" s="2">
        <v>1197.0</v>
      </c>
      <c r="F69" s="2">
        <v>1198.0</v>
      </c>
      <c r="G69" s="2" t="s">
        <v>32</v>
      </c>
      <c r="H69" s="2" t="s">
        <v>250</v>
      </c>
      <c r="I69" s="49" t="s">
        <v>327</v>
      </c>
    </row>
    <row r="70">
      <c r="A70" s="2">
        <v>41.0</v>
      </c>
      <c r="B70" s="7" t="s">
        <v>262</v>
      </c>
      <c r="C70" s="2" t="s">
        <v>230</v>
      </c>
      <c r="D70" s="2" t="s">
        <v>292</v>
      </c>
      <c r="E70" s="2">
        <v>1222.0</v>
      </c>
      <c r="F70" s="2">
        <v>1239.0</v>
      </c>
      <c r="G70" s="2" t="s">
        <v>32</v>
      </c>
      <c r="H70" s="2" t="s">
        <v>250</v>
      </c>
      <c r="I70" s="49" t="s">
        <v>328</v>
      </c>
    </row>
    <row r="71">
      <c r="A71" s="2">
        <v>42.0</v>
      </c>
      <c r="B71" s="7" t="s">
        <v>254</v>
      </c>
      <c r="C71" s="2" t="s">
        <v>258</v>
      </c>
      <c r="D71" s="2" t="s">
        <v>259</v>
      </c>
      <c r="E71" s="2">
        <v>1280.0</v>
      </c>
      <c r="F71" s="2">
        <v>1279.0</v>
      </c>
      <c r="G71" s="2" t="s">
        <v>32</v>
      </c>
      <c r="H71" s="7" t="s">
        <v>232</v>
      </c>
      <c r="I71" s="49" t="s">
        <v>330</v>
      </c>
    </row>
    <row r="72">
      <c r="A72" s="2">
        <v>43.0</v>
      </c>
      <c r="B72" s="7" t="s">
        <v>254</v>
      </c>
      <c r="C72" s="2" t="s">
        <v>258</v>
      </c>
      <c r="D72" s="2" t="s">
        <v>259</v>
      </c>
      <c r="E72" s="2">
        <v>1277.0</v>
      </c>
      <c r="F72" s="2">
        <v>1290.0</v>
      </c>
      <c r="G72" s="2" t="s">
        <v>32</v>
      </c>
      <c r="H72" s="2" t="s">
        <v>250</v>
      </c>
      <c r="I72" s="49" t="s">
        <v>332</v>
      </c>
    </row>
    <row r="73">
      <c r="A73" s="2">
        <v>44.0</v>
      </c>
      <c r="B73" s="7" t="s">
        <v>262</v>
      </c>
      <c r="C73" s="2" t="s">
        <v>258</v>
      </c>
      <c r="D73" s="2" t="s">
        <v>259</v>
      </c>
      <c r="E73" s="2">
        <v>1297.0</v>
      </c>
      <c r="F73" s="2">
        <v>1298.0</v>
      </c>
      <c r="G73" s="2"/>
      <c r="H73" s="2" t="s">
        <v>255</v>
      </c>
      <c r="I73" s="49" t="s">
        <v>334</v>
      </c>
    </row>
    <row r="74">
      <c r="A74" s="2">
        <v>45.0</v>
      </c>
      <c r="B74" s="7" t="s">
        <v>262</v>
      </c>
      <c r="C74" s="2" t="s">
        <v>258</v>
      </c>
      <c r="D74" s="2" t="s">
        <v>259</v>
      </c>
      <c r="E74" s="2">
        <v>1336.0</v>
      </c>
      <c r="F74" s="2">
        <v>1341.0</v>
      </c>
      <c r="G74" s="2"/>
      <c r="H74" s="2" t="s">
        <v>260</v>
      </c>
      <c r="I74" s="49" t="s">
        <v>335</v>
      </c>
    </row>
    <row r="75">
      <c r="A75" s="2">
        <v>46.0</v>
      </c>
      <c r="B75" s="7" t="s">
        <v>254</v>
      </c>
      <c r="C75" s="2" t="s">
        <v>258</v>
      </c>
      <c r="D75" s="2" t="s">
        <v>259</v>
      </c>
      <c r="E75" s="2">
        <v>1351.0</v>
      </c>
      <c r="F75" s="2">
        <v>1356.0</v>
      </c>
      <c r="G75" s="2" t="s">
        <v>32</v>
      </c>
      <c r="H75" s="2" t="s">
        <v>250</v>
      </c>
      <c r="I75" s="49" t="s">
        <v>338</v>
      </c>
    </row>
    <row r="76">
      <c r="A76" s="2">
        <v>47.0</v>
      </c>
      <c r="B76" s="7" t="s">
        <v>262</v>
      </c>
      <c r="C76" s="2" t="s">
        <v>258</v>
      </c>
      <c r="D76" s="2" t="s">
        <v>259</v>
      </c>
      <c r="E76" s="2">
        <v>1381.0</v>
      </c>
      <c r="F76" s="2">
        <v>1390.0</v>
      </c>
      <c r="G76" s="2" t="s">
        <v>32</v>
      </c>
      <c r="H76" s="2" t="s">
        <v>260</v>
      </c>
      <c r="I76" s="49" t="s">
        <v>340</v>
      </c>
    </row>
    <row r="77">
      <c r="A77" s="2">
        <v>48.0</v>
      </c>
      <c r="B77" s="7" t="s">
        <v>254</v>
      </c>
      <c r="C77" s="2" t="s">
        <v>230</v>
      </c>
      <c r="D77" s="2" t="s">
        <v>292</v>
      </c>
      <c r="E77" s="2">
        <v>1583.0</v>
      </c>
      <c r="F77" s="2">
        <v>1590.0</v>
      </c>
      <c r="H77" s="2" t="s">
        <v>250</v>
      </c>
      <c r="I77" s="49" t="s">
        <v>341</v>
      </c>
    </row>
    <row r="78">
      <c r="A78" s="2">
        <v>49.0</v>
      </c>
      <c r="B78" s="7" t="s">
        <v>267</v>
      </c>
      <c r="C78" s="2" t="s">
        <v>258</v>
      </c>
      <c r="D78" s="2" t="s">
        <v>296</v>
      </c>
      <c r="E78" s="2">
        <v>1723.0</v>
      </c>
      <c r="F78" s="2">
        <v>1724.0</v>
      </c>
      <c r="H78" s="2" t="s">
        <v>260</v>
      </c>
      <c r="I78" s="49" t="s">
        <v>342</v>
      </c>
    </row>
    <row r="79">
      <c r="A79" s="2">
        <v>50.0</v>
      </c>
      <c r="B79" s="7" t="s">
        <v>254</v>
      </c>
      <c r="C79" s="2" t="s">
        <v>258</v>
      </c>
      <c r="D79" s="2" t="s">
        <v>296</v>
      </c>
      <c r="E79" s="2">
        <v>1703.0</v>
      </c>
      <c r="F79" s="2">
        <v>1818.0</v>
      </c>
      <c r="G79" s="2" t="s">
        <v>32</v>
      </c>
      <c r="H79" s="2" t="s">
        <v>260</v>
      </c>
      <c r="I79" s="49" t="s">
        <v>343</v>
      </c>
    </row>
    <row r="80">
      <c r="A80" s="2">
        <v>51.0</v>
      </c>
      <c r="B80" s="7" t="s">
        <v>254</v>
      </c>
      <c r="C80" s="2" t="s">
        <v>230</v>
      </c>
      <c r="D80" s="2" t="s">
        <v>292</v>
      </c>
      <c r="E80" s="2">
        <v>1851.0</v>
      </c>
      <c r="F80" s="2">
        <v>1852.0</v>
      </c>
      <c r="H80" s="2" t="s">
        <v>260</v>
      </c>
      <c r="I80" s="49" t="s">
        <v>345</v>
      </c>
    </row>
    <row r="81">
      <c r="A81" s="2">
        <v>52.0</v>
      </c>
      <c r="B81" s="7" t="s">
        <v>244</v>
      </c>
      <c r="C81" s="2" t="s">
        <v>230</v>
      </c>
      <c r="D81" s="2" t="s">
        <v>292</v>
      </c>
      <c r="E81" s="2">
        <v>1675.0</v>
      </c>
      <c r="F81" s="2">
        <v>1982.0</v>
      </c>
      <c r="G81" s="2"/>
      <c r="H81" s="2" t="s">
        <v>260</v>
      </c>
      <c r="I81" s="49" t="s">
        <v>347</v>
      </c>
    </row>
    <row r="82">
      <c r="A82" s="2">
        <v>53.0</v>
      </c>
      <c r="B82" s="7" t="s">
        <v>262</v>
      </c>
      <c r="C82" s="2" t="s">
        <v>258</v>
      </c>
      <c r="D82" s="2" t="s">
        <v>296</v>
      </c>
      <c r="E82" s="2">
        <v>2175.0</v>
      </c>
      <c r="F82" s="2">
        <v>2231.0</v>
      </c>
      <c r="G82" s="2" t="s">
        <v>32</v>
      </c>
      <c r="H82" s="7" t="s">
        <v>232</v>
      </c>
      <c r="I82" s="49" t="s">
        <v>348</v>
      </c>
    </row>
    <row r="83">
      <c r="A83" s="2">
        <v>54.0</v>
      </c>
      <c r="B83" s="7" t="s">
        <v>262</v>
      </c>
      <c r="C83" s="2" t="s">
        <v>258</v>
      </c>
      <c r="D83" s="2" t="s">
        <v>296</v>
      </c>
      <c r="E83" s="2">
        <v>2330.0</v>
      </c>
      <c r="F83" s="2">
        <v>2336.0</v>
      </c>
      <c r="G83" s="2" t="s">
        <v>32</v>
      </c>
      <c r="H83" s="2" t="s">
        <v>250</v>
      </c>
      <c r="I83" s="49" t="s">
        <v>349</v>
      </c>
    </row>
    <row r="84">
      <c r="A84" s="2">
        <v>55.0</v>
      </c>
      <c r="B84" s="7" t="s">
        <v>262</v>
      </c>
      <c r="C84" s="2" t="s">
        <v>258</v>
      </c>
      <c r="D84" s="2" t="s">
        <v>296</v>
      </c>
      <c r="E84" s="2">
        <v>2551.0</v>
      </c>
      <c r="F84" s="2">
        <v>2552.0</v>
      </c>
      <c r="G84" s="2" t="s">
        <v>32</v>
      </c>
      <c r="H84" s="2" t="s">
        <v>250</v>
      </c>
      <c r="I84" s="49" t="s">
        <v>351</v>
      </c>
    </row>
    <row r="85">
      <c r="A85" s="2">
        <v>56.0</v>
      </c>
      <c r="B85" s="7" t="s">
        <v>262</v>
      </c>
      <c r="C85" s="2" t="s">
        <v>258</v>
      </c>
      <c r="D85" s="2" t="s">
        <v>296</v>
      </c>
      <c r="E85" s="2">
        <v>2561.0</v>
      </c>
      <c r="F85" s="2">
        <v>2562.0</v>
      </c>
      <c r="G85" s="2" t="s">
        <v>32</v>
      </c>
      <c r="H85" s="2" t="s">
        <v>250</v>
      </c>
      <c r="I85" s="49" t="s">
        <v>353</v>
      </c>
    </row>
    <row r="86">
      <c r="A86" s="2">
        <v>57.0</v>
      </c>
      <c r="B86" s="7" t="s">
        <v>244</v>
      </c>
      <c r="C86" s="2" t="s">
        <v>258</v>
      </c>
      <c r="D86" s="2" t="s">
        <v>296</v>
      </c>
      <c r="E86" s="2">
        <v>2434.0</v>
      </c>
      <c r="F86" s="2">
        <v>2570.0</v>
      </c>
      <c r="G86" s="2" t="s">
        <v>32</v>
      </c>
      <c r="H86" s="2" t="s">
        <v>250</v>
      </c>
      <c r="I86" s="49" t="s">
        <v>354</v>
      </c>
    </row>
    <row r="87">
      <c r="A87" s="2">
        <v>58.0</v>
      </c>
      <c r="B87" s="7" t="s">
        <v>244</v>
      </c>
      <c r="C87" s="2" t="s">
        <v>230</v>
      </c>
      <c r="D87" s="2" t="s">
        <v>298</v>
      </c>
      <c r="E87" s="2">
        <v>2390.0</v>
      </c>
      <c r="F87" s="2">
        <v>2587.0</v>
      </c>
      <c r="G87" s="2"/>
      <c r="H87" s="2" t="s">
        <v>260</v>
      </c>
      <c r="I87" s="49" t="s">
        <v>355</v>
      </c>
    </row>
    <row r="88">
      <c r="A88" s="2">
        <v>59.0</v>
      </c>
      <c r="B88" s="7" t="s">
        <v>244</v>
      </c>
      <c r="C88" s="2" t="s">
        <v>258</v>
      </c>
      <c r="D88" s="2" t="s">
        <v>296</v>
      </c>
      <c r="E88" s="2">
        <v>2587.0</v>
      </c>
      <c r="F88" s="2">
        <v>2588.0</v>
      </c>
      <c r="G88" s="2" t="s">
        <v>32</v>
      </c>
      <c r="H88" s="2" t="s">
        <v>260</v>
      </c>
      <c r="I88" s="49" t="s">
        <v>356</v>
      </c>
    </row>
    <row r="89">
      <c r="A89" s="2">
        <v>60.0</v>
      </c>
      <c r="B89" s="7" t="s">
        <v>244</v>
      </c>
      <c r="C89" s="2" t="s">
        <v>258</v>
      </c>
      <c r="D89" s="2" t="s">
        <v>296</v>
      </c>
      <c r="E89" s="2">
        <v>2776.0</v>
      </c>
      <c r="F89" s="2">
        <v>2893.0</v>
      </c>
      <c r="G89" s="2" t="s">
        <v>32</v>
      </c>
      <c r="H89" s="2" t="s">
        <v>260</v>
      </c>
      <c r="I89" s="49" t="s">
        <v>358</v>
      </c>
    </row>
    <row r="90">
      <c r="A90" s="2">
        <v>61.0</v>
      </c>
      <c r="B90" s="7" t="s">
        <v>262</v>
      </c>
      <c r="C90" s="2" t="s">
        <v>258</v>
      </c>
      <c r="D90" s="2" t="s">
        <v>296</v>
      </c>
      <c r="E90" s="2">
        <v>2899.0</v>
      </c>
      <c r="F90" s="2">
        <v>3057.0</v>
      </c>
      <c r="G90" s="2" t="s">
        <v>32</v>
      </c>
      <c r="H90" s="2" t="s">
        <v>260</v>
      </c>
      <c r="I90" s="49" t="s">
        <v>359</v>
      </c>
    </row>
    <row r="91">
      <c r="A91" s="2">
        <v>62.0</v>
      </c>
      <c r="B91" s="7" t="s">
        <v>244</v>
      </c>
      <c r="C91" s="2" t="s">
        <v>258</v>
      </c>
      <c r="D91" s="2" t="s">
        <v>296</v>
      </c>
      <c r="E91" s="2">
        <v>2968.0</v>
      </c>
      <c r="F91" s="2">
        <v>3072.0</v>
      </c>
      <c r="G91" s="2" t="s">
        <v>32</v>
      </c>
      <c r="H91" s="2" t="s">
        <v>250</v>
      </c>
      <c r="I91" s="49" t="s">
        <v>361</v>
      </c>
    </row>
    <row r="92">
      <c r="A92" s="2">
        <v>63.0</v>
      </c>
      <c r="B92" s="7" t="s">
        <v>244</v>
      </c>
      <c r="C92" s="2" t="s">
        <v>230</v>
      </c>
      <c r="D92" s="2" t="s">
        <v>298</v>
      </c>
      <c r="E92" s="2">
        <v>942.0</v>
      </c>
      <c r="F92" s="2">
        <v>3144.0</v>
      </c>
      <c r="G92" s="2" t="s">
        <v>32</v>
      </c>
      <c r="H92" s="2" t="s">
        <v>250</v>
      </c>
      <c r="I92" s="49" t="s">
        <v>362</v>
      </c>
    </row>
    <row r="93">
      <c r="A93" s="2">
        <v>64.0</v>
      </c>
      <c r="B93" s="7" t="s">
        <v>262</v>
      </c>
      <c r="C93" s="2" t="s">
        <v>258</v>
      </c>
      <c r="D93" s="2" t="s">
        <v>296</v>
      </c>
      <c r="E93" s="2">
        <v>3152.0</v>
      </c>
      <c r="F93" s="2">
        <v>3187.0</v>
      </c>
      <c r="G93" s="2" t="s">
        <v>32</v>
      </c>
      <c r="H93" s="2" t="s">
        <v>260</v>
      </c>
      <c r="I93" s="49" t="s">
        <v>363</v>
      </c>
    </row>
    <row r="94">
      <c r="A94" s="2">
        <v>65.0</v>
      </c>
      <c r="B94" s="7" t="s">
        <v>262</v>
      </c>
      <c r="C94" s="2" t="s">
        <v>258</v>
      </c>
      <c r="D94" s="2" t="s">
        <v>296</v>
      </c>
      <c r="E94" s="2">
        <v>3391.0</v>
      </c>
      <c r="F94" s="2">
        <v>3390.0</v>
      </c>
      <c r="G94" s="2" t="s">
        <v>32</v>
      </c>
      <c r="H94" s="2" t="s">
        <v>260</v>
      </c>
      <c r="I94" s="49" t="s">
        <v>364</v>
      </c>
    </row>
    <row r="95">
      <c r="A95" s="2">
        <v>66.0</v>
      </c>
      <c r="B95" s="7" t="s">
        <v>254</v>
      </c>
      <c r="C95" s="2" t="s">
        <v>258</v>
      </c>
      <c r="D95" s="2" t="s">
        <v>296</v>
      </c>
      <c r="E95" s="2">
        <v>3828.0</v>
      </c>
      <c r="F95" s="2">
        <v>3839.0</v>
      </c>
      <c r="G95" s="2" t="s">
        <v>32</v>
      </c>
      <c r="H95" s="7" t="s">
        <v>232</v>
      </c>
      <c r="I95" s="49" t="s">
        <v>365</v>
      </c>
    </row>
    <row r="96">
      <c r="A96" s="2">
        <v>67.0</v>
      </c>
      <c r="B96" s="7" t="s">
        <v>254</v>
      </c>
      <c r="C96" s="2" t="s">
        <v>258</v>
      </c>
      <c r="D96" s="2" t="s">
        <v>296</v>
      </c>
      <c r="E96" s="2">
        <v>3899.0</v>
      </c>
      <c r="F96" s="2">
        <v>3904.0</v>
      </c>
      <c r="G96" s="2" t="s">
        <v>32</v>
      </c>
      <c r="H96" s="7" t="s">
        <v>232</v>
      </c>
      <c r="I96" s="49" t="s">
        <v>367</v>
      </c>
    </row>
    <row r="97">
      <c r="A97" s="2">
        <v>68.0</v>
      </c>
      <c r="B97" s="7" t="s">
        <v>254</v>
      </c>
      <c r="C97" s="2" t="s">
        <v>258</v>
      </c>
      <c r="D97" s="2" t="s">
        <v>296</v>
      </c>
      <c r="E97" s="2">
        <v>3988.0</v>
      </c>
      <c r="F97" s="2">
        <v>3994.0</v>
      </c>
      <c r="G97" s="2" t="s">
        <v>32</v>
      </c>
      <c r="H97" s="7" t="s">
        <v>232</v>
      </c>
      <c r="I97" s="49" t="s">
        <v>369</v>
      </c>
    </row>
    <row r="98">
      <c r="A98" s="2">
        <v>69.0</v>
      </c>
      <c r="B98" s="7" t="s">
        <v>238</v>
      </c>
      <c r="C98" s="2" t="s">
        <v>230</v>
      </c>
      <c r="D98" s="2" t="s">
        <v>292</v>
      </c>
      <c r="E98" s="2">
        <v>4109.0</v>
      </c>
      <c r="F98" s="2">
        <v>4022.0</v>
      </c>
      <c r="H98" s="2" t="s">
        <v>250</v>
      </c>
      <c r="I98" s="49" t="s">
        <v>370</v>
      </c>
    </row>
    <row r="99">
      <c r="A99" s="2">
        <v>70.0</v>
      </c>
      <c r="B99" s="7" t="s">
        <v>254</v>
      </c>
      <c r="C99" s="2" t="s">
        <v>230</v>
      </c>
      <c r="D99" s="2" t="s">
        <v>292</v>
      </c>
      <c r="E99" s="2">
        <v>4543.0</v>
      </c>
      <c r="F99" s="2">
        <v>4544.0</v>
      </c>
      <c r="H99" s="2" t="s">
        <v>250</v>
      </c>
      <c r="I99" s="49" t="s">
        <v>371</v>
      </c>
    </row>
    <row r="100">
      <c r="A100" s="2">
        <v>71.0</v>
      </c>
      <c r="B100" s="7" t="s">
        <v>238</v>
      </c>
      <c r="C100" s="2" t="s">
        <v>258</v>
      </c>
      <c r="D100" s="2" t="s">
        <v>302</v>
      </c>
      <c r="E100" s="2">
        <v>5700.0</v>
      </c>
      <c r="F100" s="2">
        <v>5707.0</v>
      </c>
      <c r="G100" s="2" t="s">
        <v>32</v>
      </c>
      <c r="H100" s="7" t="s">
        <v>232</v>
      </c>
      <c r="I100" s="49" t="s">
        <v>372</v>
      </c>
    </row>
    <row r="101">
      <c r="A101" s="2">
        <v>72.0</v>
      </c>
      <c r="B101" s="7" t="s">
        <v>238</v>
      </c>
      <c r="C101" s="2" t="s">
        <v>258</v>
      </c>
      <c r="D101" s="2" t="s">
        <v>302</v>
      </c>
      <c r="E101" s="2">
        <v>5784.0</v>
      </c>
      <c r="F101" s="2">
        <v>5801.0</v>
      </c>
      <c r="G101" s="2" t="s">
        <v>32</v>
      </c>
      <c r="H101" s="7" t="s">
        <v>232</v>
      </c>
      <c r="I101" s="49" t="s">
        <v>374</v>
      </c>
    </row>
    <row r="102">
      <c r="A102" s="2">
        <v>73.0</v>
      </c>
      <c r="B102" s="7" t="s">
        <v>244</v>
      </c>
      <c r="C102" s="2" t="s">
        <v>258</v>
      </c>
      <c r="D102" s="2" t="s">
        <v>302</v>
      </c>
      <c r="E102" s="2">
        <v>5787.0</v>
      </c>
      <c r="F102" s="2">
        <v>5798.0</v>
      </c>
      <c r="G102" s="2" t="s">
        <v>32</v>
      </c>
      <c r="H102" s="7" t="s">
        <v>232</v>
      </c>
      <c r="I102" s="49" t="s">
        <v>378</v>
      </c>
    </row>
    <row r="103">
      <c r="A103" s="2">
        <v>74.0</v>
      </c>
      <c r="B103" s="7" t="s">
        <v>238</v>
      </c>
      <c r="C103" s="2" t="s">
        <v>258</v>
      </c>
      <c r="D103" s="2" t="s">
        <v>302</v>
      </c>
      <c r="E103" s="2">
        <v>6050.0</v>
      </c>
      <c r="F103" s="2">
        <v>6161.0</v>
      </c>
      <c r="G103" s="2" t="s">
        <v>32</v>
      </c>
      <c r="H103" s="7" t="s">
        <v>232</v>
      </c>
      <c r="I103" s="49" t="s">
        <v>381</v>
      </c>
    </row>
    <row r="104">
      <c r="A104" s="2">
        <v>75.0</v>
      </c>
      <c r="B104" s="7" t="s">
        <v>238</v>
      </c>
      <c r="C104" s="2" t="s">
        <v>258</v>
      </c>
      <c r="D104" s="2" t="s">
        <v>302</v>
      </c>
      <c r="E104" s="2">
        <v>6585.0</v>
      </c>
      <c r="F104" s="2">
        <v>6586.0</v>
      </c>
      <c r="G104" s="2" t="s">
        <v>32</v>
      </c>
      <c r="H104" s="2" t="s">
        <v>260</v>
      </c>
      <c r="I104" s="49" t="s">
        <v>386</v>
      </c>
    </row>
    <row r="105">
      <c r="A105" s="2"/>
      <c r="B105" s="7"/>
      <c r="C105" s="2"/>
      <c r="D105" s="2"/>
      <c r="E105" s="2"/>
      <c r="F105" s="2"/>
      <c r="G105" s="2"/>
    </row>
    <row r="108">
      <c r="A108" s="5" t="s">
        <v>373</v>
      </c>
    </row>
    <row r="109">
      <c r="A109" s="5" t="s">
        <v>13</v>
      </c>
      <c r="B109" s="5" t="s">
        <v>387</v>
      </c>
      <c r="C109" s="5" t="s">
        <v>214</v>
      </c>
      <c r="D109" s="5" t="s">
        <v>215</v>
      </c>
      <c r="E109" s="5" t="s">
        <v>216</v>
      </c>
      <c r="F109" s="5" t="s">
        <v>217</v>
      </c>
      <c r="G109" s="5" t="s">
        <v>218</v>
      </c>
      <c r="H109" s="6" t="s">
        <v>220</v>
      </c>
      <c r="I109" s="5" t="s">
        <v>222</v>
      </c>
      <c r="L109" s="5" t="s">
        <v>241</v>
      </c>
      <c r="M109" s="5" t="s">
        <v>242</v>
      </c>
      <c r="N109" s="5" t="s">
        <v>24</v>
      </c>
    </row>
    <row r="110">
      <c r="A110" s="2">
        <v>1.0</v>
      </c>
      <c r="B110" s="2" t="s">
        <v>267</v>
      </c>
      <c r="C110" s="2" t="s">
        <v>258</v>
      </c>
      <c r="D110" s="2" t="s">
        <v>259</v>
      </c>
      <c r="E110" s="2">
        <v>88.0</v>
      </c>
      <c r="F110" s="2">
        <v>92.0</v>
      </c>
      <c r="G110" s="2" t="s">
        <v>32</v>
      </c>
      <c r="H110" s="2" t="s">
        <v>250</v>
      </c>
      <c r="I110" s="49" t="s">
        <v>390</v>
      </c>
      <c r="K110" s="6"/>
      <c r="L110" s="2"/>
      <c r="M110" s="2"/>
      <c r="N110" s="2"/>
    </row>
    <row r="111">
      <c r="A111" s="2">
        <v>2.0</v>
      </c>
      <c r="B111" s="2" t="s">
        <v>267</v>
      </c>
      <c r="C111" s="2" t="s">
        <v>258</v>
      </c>
      <c r="D111" s="2" t="s">
        <v>259</v>
      </c>
      <c r="E111" s="2">
        <v>141.0</v>
      </c>
      <c r="F111" s="2">
        <v>142.0</v>
      </c>
      <c r="H111" s="2" t="s">
        <v>250</v>
      </c>
      <c r="I111" s="49" t="s">
        <v>391</v>
      </c>
      <c r="K111" s="6" t="s">
        <v>267</v>
      </c>
      <c r="L111" s="2">
        <f>COUNTIF(G110:G234,"Y")</f>
        <v>114</v>
      </c>
      <c r="M111" s="2">
        <f>COUNTIF(G110:G234,"")</f>
        <v>11</v>
      </c>
      <c r="N111" s="2">
        <f>L111+M111</f>
        <v>125</v>
      </c>
    </row>
    <row r="112">
      <c r="A112" s="2">
        <v>3.0</v>
      </c>
      <c r="B112" s="2" t="s">
        <v>267</v>
      </c>
      <c r="C112" s="2" t="s">
        <v>230</v>
      </c>
      <c r="D112" s="2" t="s">
        <v>239</v>
      </c>
      <c r="E112" s="2">
        <v>160.0</v>
      </c>
      <c r="F112" s="2">
        <v>170.0</v>
      </c>
      <c r="H112" s="2" t="s">
        <v>250</v>
      </c>
      <c r="I112" s="49" t="s">
        <v>393</v>
      </c>
      <c r="K112" s="6"/>
      <c r="L112" s="2"/>
      <c r="M112" s="2"/>
      <c r="N112" s="2"/>
    </row>
    <row r="113">
      <c r="A113" s="2">
        <v>4.0</v>
      </c>
      <c r="B113" s="2" t="s">
        <v>267</v>
      </c>
      <c r="C113" s="2" t="s">
        <v>258</v>
      </c>
      <c r="D113" s="2" t="s">
        <v>394</v>
      </c>
      <c r="E113" s="2">
        <v>231.0</v>
      </c>
      <c r="F113" s="2">
        <v>304.0</v>
      </c>
      <c r="G113" s="2" t="s">
        <v>32</v>
      </c>
      <c r="H113" s="7" t="s">
        <v>232</v>
      </c>
      <c r="I113" s="49" t="s">
        <v>395</v>
      </c>
      <c r="K113" s="5"/>
      <c r="O113" s="5"/>
    </row>
    <row r="114">
      <c r="A114" s="2">
        <v>5.0</v>
      </c>
      <c r="B114" s="2" t="s">
        <v>267</v>
      </c>
      <c r="C114" s="2" t="s">
        <v>258</v>
      </c>
      <c r="D114" s="2" t="s">
        <v>394</v>
      </c>
      <c r="E114" s="2">
        <v>256.0</v>
      </c>
      <c r="F114" s="2">
        <v>720.0</v>
      </c>
      <c r="G114" s="2" t="s">
        <v>32</v>
      </c>
      <c r="H114" s="2" t="s">
        <v>250</v>
      </c>
      <c r="I114" s="49" t="s">
        <v>398</v>
      </c>
      <c r="O114" s="5" t="s">
        <v>399</v>
      </c>
      <c r="P114" s="15">
        <f>N111+75</f>
        <v>200</v>
      </c>
    </row>
    <row r="115">
      <c r="A115" s="2">
        <v>6.0</v>
      </c>
      <c r="B115" s="2" t="s">
        <v>267</v>
      </c>
      <c r="C115" s="2" t="s">
        <v>258</v>
      </c>
      <c r="D115" s="2" t="s">
        <v>259</v>
      </c>
      <c r="E115" s="2">
        <v>237.0</v>
      </c>
      <c r="F115" s="2">
        <v>261.0</v>
      </c>
      <c r="G115" s="2" t="s">
        <v>32</v>
      </c>
      <c r="H115" s="2" t="s">
        <v>306</v>
      </c>
      <c r="I115" s="49" t="s">
        <v>402</v>
      </c>
      <c r="O115" s="5"/>
    </row>
    <row r="116">
      <c r="A116" s="2">
        <v>7.0</v>
      </c>
      <c r="B116" s="2" t="s">
        <v>267</v>
      </c>
      <c r="C116" s="2" t="s">
        <v>230</v>
      </c>
      <c r="D116" s="2" t="s">
        <v>231</v>
      </c>
      <c r="E116" s="2">
        <v>322.0</v>
      </c>
      <c r="F116" s="2">
        <v>438.0</v>
      </c>
      <c r="G116" s="2"/>
      <c r="H116" s="7" t="s">
        <v>255</v>
      </c>
      <c r="I116" s="49" t="s">
        <v>403</v>
      </c>
    </row>
    <row r="117">
      <c r="A117" s="2">
        <v>8.0</v>
      </c>
      <c r="B117" s="2" t="s">
        <v>267</v>
      </c>
      <c r="C117" s="2" t="s">
        <v>258</v>
      </c>
      <c r="D117" s="2" t="s">
        <v>394</v>
      </c>
      <c r="E117" s="2">
        <v>337.0</v>
      </c>
      <c r="F117" s="2">
        <v>439.0</v>
      </c>
      <c r="G117" s="2" t="s">
        <v>32</v>
      </c>
      <c r="H117" s="2" t="s">
        <v>250</v>
      </c>
      <c r="I117" s="49" t="s">
        <v>406</v>
      </c>
    </row>
    <row r="118">
      <c r="A118" s="2">
        <v>9.0</v>
      </c>
      <c r="B118" s="2" t="s">
        <v>267</v>
      </c>
      <c r="C118" s="2" t="s">
        <v>258</v>
      </c>
      <c r="D118" s="2" t="s">
        <v>394</v>
      </c>
      <c r="E118" s="2">
        <v>350.0</v>
      </c>
      <c r="F118" s="2">
        <v>498.0</v>
      </c>
      <c r="G118" s="2" t="s">
        <v>32</v>
      </c>
      <c r="H118" s="2" t="s">
        <v>250</v>
      </c>
      <c r="I118" s="49" t="s">
        <v>409</v>
      </c>
    </row>
    <row r="119">
      <c r="A119" s="2">
        <v>10.0</v>
      </c>
      <c r="B119" s="2" t="s">
        <v>267</v>
      </c>
      <c r="C119" s="2" t="s">
        <v>258</v>
      </c>
      <c r="D119" s="2" t="s">
        <v>394</v>
      </c>
      <c r="E119" s="2">
        <v>362.0</v>
      </c>
      <c r="F119" s="2">
        <v>466.0</v>
      </c>
      <c r="G119" s="2" t="s">
        <v>32</v>
      </c>
      <c r="H119" s="2" t="s">
        <v>260</v>
      </c>
      <c r="I119" s="49" t="s">
        <v>410</v>
      </c>
    </row>
    <row r="120">
      <c r="A120" s="2">
        <v>11.0</v>
      </c>
      <c r="B120" s="2" t="s">
        <v>267</v>
      </c>
      <c r="C120" s="2" t="s">
        <v>258</v>
      </c>
      <c r="D120" s="2" t="s">
        <v>394</v>
      </c>
      <c r="E120" s="2">
        <v>509.0</v>
      </c>
      <c r="F120" s="2">
        <v>1374.0</v>
      </c>
      <c r="G120" s="2" t="s">
        <v>32</v>
      </c>
      <c r="H120" s="2" t="s">
        <v>260</v>
      </c>
      <c r="I120" s="49" t="s">
        <v>412</v>
      </c>
      <c r="K120" s="5"/>
      <c r="M120" s="2"/>
      <c r="N120" s="2"/>
    </row>
    <row r="121">
      <c r="A121" s="2">
        <v>12.0</v>
      </c>
      <c r="B121" s="2" t="s">
        <v>267</v>
      </c>
      <c r="C121" s="2" t="s">
        <v>258</v>
      </c>
      <c r="D121" s="2" t="s">
        <v>394</v>
      </c>
      <c r="E121" s="2">
        <v>529.0</v>
      </c>
      <c r="F121" s="2">
        <v>531.0</v>
      </c>
      <c r="G121" s="2" t="s">
        <v>32</v>
      </c>
      <c r="H121" s="7" t="s">
        <v>255</v>
      </c>
      <c r="I121" s="49" t="s">
        <v>415</v>
      </c>
      <c r="K121" s="2" t="str">
        <f t="array" ref="K121:K127">UNIQUE(D110:D234)</f>
        <v>agentscope</v>
      </c>
      <c r="L121" s="15">
        <f t="shared" ref="L121:L127" si="28">COUNTIF($D$110:$D$234,K121)</f>
        <v>34</v>
      </c>
      <c r="M121" s="2"/>
      <c r="N121" s="2"/>
    </row>
    <row r="122">
      <c r="A122" s="2">
        <v>13.0</v>
      </c>
      <c r="B122" s="2" t="s">
        <v>267</v>
      </c>
      <c r="C122" s="2" t="s">
        <v>258</v>
      </c>
      <c r="D122" s="2" t="s">
        <v>264</v>
      </c>
      <c r="E122" s="2">
        <v>563.0</v>
      </c>
      <c r="F122" s="2">
        <v>564.0</v>
      </c>
      <c r="G122" s="2" t="s">
        <v>32</v>
      </c>
      <c r="H122" s="7" t="s">
        <v>232</v>
      </c>
      <c r="I122" s="49" t="s">
        <v>420</v>
      </c>
      <c r="K122" s="15" t="s">
        <v>239</v>
      </c>
      <c r="L122" s="15">
        <f t="shared" si="28"/>
        <v>1</v>
      </c>
    </row>
    <row r="123">
      <c r="A123" s="2">
        <v>14.0</v>
      </c>
      <c r="B123" s="2" t="s">
        <v>267</v>
      </c>
      <c r="C123" s="2" t="s">
        <v>258</v>
      </c>
      <c r="D123" s="2" t="s">
        <v>394</v>
      </c>
      <c r="E123" s="2">
        <v>579.0</v>
      </c>
      <c r="F123" s="2">
        <v>761.0</v>
      </c>
      <c r="G123" s="2" t="s">
        <v>32</v>
      </c>
      <c r="H123" s="2" t="s">
        <v>250</v>
      </c>
      <c r="I123" s="49" t="s">
        <v>422</v>
      </c>
      <c r="K123" s="15" t="s">
        <v>394</v>
      </c>
      <c r="L123" s="15">
        <f t="shared" si="28"/>
        <v>79</v>
      </c>
      <c r="M123" s="2"/>
      <c r="N123" s="2"/>
    </row>
    <row r="124">
      <c r="A124" s="2">
        <v>15.0</v>
      </c>
      <c r="B124" s="2" t="s">
        <v>267</v>
      </c>
      <c r="C124" s="2" t="s">
        <v>258</v>
      </c>
      <c r="D124" s="2" t="s">
        <v>394</v>
      </c>
      <c r="E124" s="2">
        <v>590.0</v>
      </c>
      <c r="F124" s="2">
        <v>391.0</v>
      </c>
      <c r="G124" s="2" t="s">
        <v>32</v>
      </c>
      <c r="H124" s="2" t="s">
        <v>250</v>
      </c>
      <c r="I124" s="49" t="s">
        <v>424</v>
      </c>
      <c r="K124" s="15" t="s">
        <v>231</v>
      </c>
      <c r="L124" s="15">
        <f t="shared" si="28"/>
        <v>1</v>
      </c>
      <c r="M124" s="2"/>
      <c r="N124" s="2"/>
    </row>
    <row r="125">
      <c r="A125" s="2">
        <v>16.0</v>
      </c>
      <c r="B125" s="2" t="s">
        <v>267</v>
      </c>
      <c r="C125" s="2" t="s">
        <v>258</v>
      </c>
      <c r="D125" s="2" t="s">
        <v>394</v>
      </c>
      <c r="E125" s="2">
        <v>667.0</v>
      </c>
      <c r="F125" s="2">
        <v>926.0</v>
      </c>
      <c r="G125" s="2" t="s">
        <v>32</v>
      </c>
      <c r="H125" s="7" t="s">
        <v>232</v>
      </c>
      <c r="I125" s="49" t="s">
        <v>426</v>
      </c>
      <c r="K125" s="15" t="s">
        <v>264</v>
      </c>
      <c r="L125" s="15">
        <f t="shared" si="28"/>
        <v>1</v>
      </c>
      <c r="M125" s="2"/>
      <c r="N125" s="2"/>
    </row>
    <row r="126">
      <c r="A126" s="2">
        <v>17.0</v>
      </c>
      <c r="B126" s="2" t="s">
        <v>267</v>
      </c>
      <c r="C126" s="2" t="s">
        <v>258</v>
      </c>
      <c r="D126" s="2" t="s">
        <v>394</v>
      </c>
      <c r="E126" s="2">
        <v>831.0</v>
      </c>
      <c r="F126" s="2">
        <v>857.0</v>
      </c>
      <c r="G126" s="2" t="s">
        <v>32</v>
      </c>
      <c r="H126" s="7" t="s">
        <v>255</v>
      </c>
      <c r="I126" s="49" t="s">
        <v>427</v>
      </c>
      <c r="K126" s="2" t="s">
        <v>296</v>
      </c>
      <c r="L126" s="15">
        <f t="shared" si="28"/>
        <v>8</v>
      </c>
      <c r="M126" s="2"/>
      <c r="N126" s="2"/>
    </row>
    <row r="127">
      <c r="A127" s="2">
        <v>18.0</v>
      </c>
      <c r="B127" s="2" t="s">
        <v>267</v>
      </c>
      <c r="C127" s="2" t="s">
        <v>258</v>
      </c>
      <c r="D127" s="2" t="s">
        <v>259</v>
      </c>
      <c r="E127" s="2">
        <v>974.0</v>
      </c>
      <c r="F127" s="2">
        <v>995.0</v>
      </c>
      <c r="G127" s="2"/>
      <c r="H127" s="2" t="s">
        <v>250</v>
      </c>
      <c r="I127" s="49" t="s">
        <v>431</v>
      </c>
      <c r="K127" s="2" t="s">
        <v>292</v>
      </c>
      <c r="L127" s="15">
        <f t="shared" si="28"/>
        <v>1</v>
      </c>
      <c r="M127" s="2"/>
      <c r="N127" s="2"/>
    </row>
    <row r="128">
      <c r="A128" s="2">
        <v>19.0</v>
      </c>
      <c r="B128" s="2" t="s">
        <v>267</v>
      </c>
      <c r="C128" s="2" t="s">
        <v>258</v>
      </c>
      <c r="D128" s="2" t="s">
        <v>394</v>
      </c>
      <c r="E128" s="2">
        <v>1006.0</v>
      </c>
      <c r="F128" s="2">
        <v>1474.0</v>
      </c>
      <c r="G128" s="2" t="s">
        <v>32</v>
      </c>
      <c r="H128" s="7" t="s">
        <v>232</v>
      </c>
      <c r="I128" s="49" t="s">
        <v>436</v>
      </c>
      <c r="K128" s="2"/>
    </row>
    <row r="129">
      <c r="A129" s="2">
        <v>20.0</v>
      </c>
      <c r="B129" s="2" t="s">
        <v>267</v>
      </c>
      <c r="C129" s="2" t="s">
        <v>258</v>
      </c>
      <c r="D129" s="2" t="s">
        <v>394</v>
      </c>
      <c r="E129" s="2">
        <v>1020.0</v>
      </c>
      <c r="F129" s="2">
        <v>1028.0</v>
      </c>
      <c r="G129" s="2" t="s">
        <v>32</v>
      </c>
      <c r="H129" s="2" t="s">
        <v>250</v>
      </c>
      <c r="I129" s="49" t="s">
        <v>438</v>
      </c>
      <c r="K129" s="2" t="s">
        <v>252</v>
      </c>
      <c r="L129" s="15">
        <f>SUM(L121:L127)</f>
        <v>125</v>
      </c>
    </row>
    <row r="130">
      <c r="A130" s="2">
        <v>21.0</v>
      </c>
      <c r="B130" s="2" t="s">
        <v>267</v>
      </c>
      <c r="C130" s="2" t="s">
        <v>258</v>
      </c>
      <c r="D130" s="2" t="s">
        <v>394</v>
      </c>
      <c r="E130" s="2">
        <v>1067.0</v>
      </c>
      <c r="F130" s="2">
        <v>1142.0</v>
      </c>
      <c r="G130" s="2" t="s">
        <v>32</v>
      </c>
      <c r="H130" s="2" t="s">
        <v>250</v>
      </c>
      <c r="I130" s="49" t="s">
        <v>447</v>
      </c>
      <c r="K130" s="2"/>
    </row>
    <row r="131">
      <c r="A131" s="2">
        <v>22.0</v>
      </c>
      <c r="B131" s="2" t="s">
        <v>267</v>
      </c>
      <c r="C131" s="2" t="s">
        <v>258</v>
      </c>
      <c r="D131" s="2" t="s">
        <v>394</v>
      </c>
      <c r="E131" s="2">
        <v>1077.0</v>
      </c>
      <c r="F131" s="2">
        <v>1080.0</v>
      </c>
      <c r="G131" s="2" t="s">
        <v>32</v>
      </c>
      <c r="H131" s="7" t="s">
        <v>306</v>
      </c>
      <c r="I131" s="49" t="s">
        <v>448</v>
      </c>
      <c r="K131" s="2"/>
    </row>
    <row r="132">
      <c r="A132" s="2">
        <v>23.0</v>
      </c>
      <c r="B132" s="2" t="s">
        <v>267</v>
      </c>
      <c r="C132" s="2" t="s">
        <v>258</v>
      </c>
      <c r="D132" s="2" t="s">
        <v>394</v>
      </c>
      <c r="E132" s="2">
        <v>1131.0</v>
      </c>
      <c r="F132" s="2">
        <v>1182.0</v>
      </c>
      <c r="G132" s="2" t="s">
        <v>32</v>
      </c>
      <c r="H132" s="2" t="s">
        <v>250</v>
      </c>
      <c r="I132" s="49" t="s">
        <v>450</v>
      </c>
      <c r="K132" s="2"/>
    </row>
    <row r="133">
      <c r="A133" s="2">
        <v>24.0</v>
      </c>
      <c r="B133" s="2" t="s">
        <v>267</v>
      </c>
      <c r="C133" s="2" t="s">
        <v>258</v>
      </c>
      <c r="D133" s="2" t="s">
        <v>394</v>
      </c>
      <c r="E133" s="2">
        <v>1158.0</v>
      </c>
      <c r="F133" s="2">
        <v>1187.0</v>
      </c>
      <c r="G133" s="2" t="s">
        <v>32</v>
      </c>
      <c r="H133" s="7" t="s">
        <v>255</v>
      </c>
      <c r="I133" s="49" t="s">
        <v>457</v>
      </c>
      <c r="K133" s="2"/>
    </row>
    <row r="134">
      <c r="A134" s="2">
        <v>25.0</v>
      </c>
      <c r="B134" s="2" t="s">
        <v>267</v>
      </c>
      <c r="C134" s="2" t="s">
        <v>258</v>
      </c>
      <c r="D134" s="2" t="s">
        <v>394</v>
      </c>
      <c r="E134" s="2">
        <v>1160.0</v>
      </c>
      <c r="F134" s="2">
        <v>1805.0</v>
      </c>
      <c r="G134" s="2" t="s">
        <v>32</v>
      </c>
      <c r="H134" s="2" t="s">
        <v>260</v>
      </c>
      <c r="I134" s="49" t="s">
        <v>459</v>
      </c>
      <c r="K134" s="2"/>
    </row>
    <row r="135">
      <c r="A135" s="2">
        <v>26.0</v>
      </c>
      <c r="B135" s="2" t="s">
        <v>267</v>
      </c>
      <c r="C135" s="2" t="s">
        <v>258</v>
      </c>
      <c r="D135" s="2" t="s">
        <v>394</v>
      </c>
      <c r="E135" s="2">
        <v>1164.0</v>
      </c>
      <c r="F135" s="2">
        <v>1186.0</v>
      </c>
      <c r="G135" s="2" t="s">
        <v>32</v>
      </c>
      <c r="H135" s="2" t="s">
        <v>260</v>
      </c>
      <c r="I135" s="49" t="s">
        <v>462</v>
      </c>
      <c r="K135" s="2"/>
    </row>
    <row r="136">
      <c r="A136" s="2">
        <v>27.0</v>
      </c>
      <c r="B136" s="2" t="s">
        <v>267</v>
      </c>
      <c r="C136" s="2" t="s">
        <v>258</v>
      </c>
      <c r="D136" s="2" t="s">
        <v>394</v>
      </c>
      <c r="E136" s="2">
        <v>1176.0</v>
      </c>
      <c r="F136" s="2">
        <v>1453.0</v>
      </c>
      <c r="G136" s="2" t="s">
        <v>32</v>
      </c>
      <c r="H136" s="7" t="s">
        <v>232</v>
      </c>
      <c r="I136" s="49" t="s">
        <v>464</v>
      </c>
      <c r="K136" s="2"/>
    </row>
    <row r="137">
      <c r="A137" s="2">
        <v>28.0</v>
      </c>
      <c r="B137" s="2" t="s">
        <v>267</v>
      </c>
      <c r="C137" s="2" t="s">
        <v>258</v>
      </c>
      <c r="D137" s="2" t="s">
        <v>394</v>
      </c>
      <c r="E137" s="2">
        <v>1190.0</v>
      </c>
      <c r="F137" s="2">
        <v>1301.0</v>
      </c>
      <c r="G137" s="2" t="s">
        <v>32</v>
      </c>
      <c r="H137" s="2" t="s">
        <v>250</v>
      </c>
      <c r="I137" s="49" t="s">
        <v>466</v>
      </c>
      <c r="K137" s="2"/>
    </row>
    <row r="138">
      <c r="A138" s="2">
        <v>29.0</v>
      </c>
      <c r="B138" s="2" t="s">
        <v>267</v>
      </c>
      <c r="C138" s="2" t="s">
        <v>258</v>
      </c>
      <c r="D138" s="2" t="s">
        <v>394</v>
      </c>
      <c r="E138" s="2">
        <v>1197.0</v>
      </c>
      <c r="F138" s="2">
        <v>2009.0</v>
      </c>
      <c r="G138" s="2" t="s">
        <v>32</v>
      </c>
      <c r="H138" s="2" t="s">
        <v>260</v>
      </c>
      <c r="I138" s="49" t="s">
        <v>467</v>
      </c>
      <c r="K138" s="2"/>
    </row>
    <row r="139">
      <c r="A139" s="2">
        <v>30.0</v>
      </c>
      <c r="B139" s="2" t="s">
        <v>267</v>
      </c>
      <c r="C139" s="2" t="s">
        <v>258</v>
      </c>
      <c r="D139" s="2" t="s">
        <v>394</v>
      </c>
      <c r="E139" s="2">
        <v>1208.0</v>
      </c>
      <c r="F139" s="2">
        <v>1494.0</v>
      </c>
      <c r="G139" s="2" t="s">
        <v>32</v>
      </c>
      <c r="H139" s="2" t="s">
        <v>250</v>
      </c>
      <c r="I139" s="49" t="s">
        <v>469</v>
      </c>
      <c r="K139" s="2"/>
    </row>
    <row r="140">
      <c r="A140" s="2">
        <v>31.0</v>
      </c>
      <c r="B140" s="2" t="s">
        <v>267</v>
      </c>
      <c r="C140" s="2" t="s">
        <v>258</v>
      </c>
      <c r="D140" s="2" t="s">
        <v>394</v>
      </c>
      <c r="E140" s="2">
        <v>1210.0</v>
      </c>
      <c r="F140" s="2">
        <v>1213.0</v>
      </c>
      <c r="G140" s="2" t="s">
        <v>32</v>
      </c>
      <c r="H140" s="2" t="s">
        <v>250</v>
      </c>
      <c r="I140" s="49" t="s">
        <v>471</v>
      </c>
      <c r="K140" s="2"/>
    </row>
    <row r="141">
      <c r="A141" s="2">
        <v>32.0</v>
      </c>
      <c r="B141" s="2" t="s">
        <v>267</v>
      </c>
      <c r="C141" s="2" t="s">
        <v>258</v>
      </c>
      <c r="D141" s="2" t="s">
        <v>394</v>
      </c>
      <c r="E141" s="2">
        <v>1221.0</v>
      </c>
      <c r="F141" s="2">
        <v>1231.0</v>
      </c>
      <c r="G141" s="2" t="s">
        <v>32</v>
      </c>
      <c r="H141" s="2" t="s">
        <v>250</v>
      </c>
      <c r="I141" s="49" t="s">
        <v>473</v>
      </c>
      <c r="K141" s="2"/>
    </row>
    <row r="142">
      <c r="A142" s="2">
        <v>33.0</v>
      </c>
      <c r="B142" s="2" t="s">
        <v>267</v>
      </c>
      <c r="C142" s="2" t="s">
        <v>258</v>
      </c>
      <c r="D142" s="2" t="s">
        <v>394</v>
      </c>
      <c r="E142" s="2">
        <v>1260.0</v>
      </c>
      <c r="F142" s="2">
        <v>1475.0</v>
      </c>
      <c r="G142" s="2" t="s">
        <v>32</v>
      </c>
      <c r="H142" s="2" t="s">
        <v>250</v>
      </c>
      <c r="I142" s="49" t="s">
        <v>477</v>
      </c>
      <c r="K142" s="2"/>
    </row>
    <row r="143">
      <c r="A143" s="2">
        <v>34.0</v>
      </c>
      <c r="B143" s="2" t="s">
        <v>267</v>
      </c>
      <c r="C143" s="2" t="s">
        <v>258</v>
      </c>
      <c r="D143" s="2" t="s">
        <v>394</v>
      </c>
      <c r="E143" s="2">
        <v>1272.0</v>
      </c>
      <c r="F143" s="2">
        <v>1274.0</v>
      </c>
      <c r="G143" s="2" t="s">
        <v>32</v>
      </c>
      <c r="H143" s="2" t="s">
        <v>260</v>
      </c>
      <c r="I143" s="49" t="s">
        <v>478</v>
      </c>
      <c r="K143" s="2"/>
    </row>
    <row r="144">
      <c r="A144" s="2">
        <v>35.0</v>
      </c>
      <c r="B144" s="2" t="s">
        <v>267</v>
      </c>
      <c r="C144" s="2" t="s">
        <v>258</v>
      </c>
      <c r="D144" s="2" t="s">
        <v>394</v>
      </c>
      <c r="E144" s="2">
        <v>1294.0</v>
      </c>
      <c r="F144" s="2">
        <v>2031.0</v>
      </c>
      <c r="G144" s="2" t="s">
        <v>32</v>
      </c>
      <c r="H144" s="2" t="s">
        <v>260</v>
      </c>
      <c r="I144" s="49" t="s">
        <v>481</v>
      </c>
      <c r="K144" s="2"/>
    </row>
    <row r="145">
      <c r="A145" s="2">
        <v>36.0</v>
      </c>
      <c r="B145" s="2" t="s">
        <v>267</v>
      </c>
      <c r="C145" s="2" t="s">
        <v>258</v>
      </c>
      <c r="D145" s="2" t="s">
        <v>394</v>
      </c>
      <c r="E145" s="2">
        <v>1334.0</v>
      </c>
      <c r="F145" s="2">
        <v>1396.0</v>
      </c>
      <c r="G145" s="2"/>
      <c r="H145" s="2" t="s">
        <v>250</v>
      </c>
      <c r="I145" s="49" t="s">
        <v>483</v>
      </c>
      <c r="K145" s="2"/>
    </row>
    <row r="146">
      <c r="A146" s="2">
        <v>37.0</v>
      </c>
      <c r="B146" s="2" t="s">
        <v>267</v>
      </c>
      <c r="C146" s="2" t="s">
        <v>258</v>
      </c>
      <c r="D146" s="2" t="s">
        <v>394</v>
      </c>
      <c r="E146" s="2">
        <v>1432.0</v>
      </c>
      <c r="F146" s="2">
        <v>1438.0</v>
      </c>
      <c r="G146" s="2" t="s">
        <v>32</v>
      </c>
      <c r="H146" s="2" t="s">
        <v>260</v>
      </c>
      <c r="I146" s="49" t="s">
        <v>484</v>
      </c>
      <c r="K146" s="2"/>
    </row>
    <row r="147">
      <c r="A147" s="2">
        <v>38.0</v>
      </c>
      <c r="B147" s="2" t="s">
        <v>267</v>
      </c>
      <c r="C147" s="2" t="s">
        <v>258</v>
      </c>
      <c r="D147" s="2" t="s">
        <v>394</v>
      </c>
      <c r="E147" s="2">
        <v>1461.0</v>
      </c>
      <c r="F147" s="2">
        <v>1553.0</v>
      </c>
      <c r="G147" s="2" t="s">
        <v>32</v>
      </c>
      <c r="H147" s="7" t="s">
        <v>232</v>
      </c>
      <c r="I147" s="49" t="s">
        <v>485</v>
      </c>
      <c r="K147" s="2"/>
    </row>
    <row r="148">
      <c r="A148" s="2">
        <v>39.0</v>
      </c>
      <c r="B148" s="2" t="s">
        <v>267</v>
      </c>
      <c r="C148" s="2" t="s">
        <v>258</v>
      </c>
      <c r="D148" s="2" t="s">
        <v>296</v>
      </c>
      <c r="E148" s="2">
        <v>1439.0</v>
      </c>
      <c r="F148" s="2">
        <v>1440.0</v>
      </c>
      <c r="G148" s="2"/>
      <c r="H148" s="2" t="s">
        <v>250</v>
      </c>
      <c r="I148" s="49" t="s">
        <v>488</v>
      </c>
      <c r="K148" s="2"/>
    </row>
    <row r="149">
      <c r="A149" s="2">
        <v>40.0</v>
      </c>
      <c r="B149" s="2" t="s">
        <v>267</v>
      </c>
      <c r="C149" s="2" t="s">
        <v>258</v>
      </c>
      <c r="D149" s="2" t="s">
        <v>394</v>
      </c>
      <c r="E149" s="2">
        <v>1525.0</v>
      </c>
      <c r="F149" s="2">
        <v>1584.0</v>
      </c>
      <c r="G149" s="2" t="s">
        <v>32</v>
      </c>
      <c r="H149" s="2" t="s">
        <v>250</v>
      </c>
      <c r="I149" s="49"/>
      <c r="K149" s="2"/>
    </row>
    <row r="150">
      <c r="A150" s="2">
        <v>41.0</v>
      </c>
      <c r="B150" s="2" t="s">
        <v>267</v>
      </c>
      <c r="C150" s="2" t="s">
        <v>258</v>
      </c>
      <c r="D150" s="2" t="s">
        <v>394</v>
      </c>
      <c r="E150" s="2">
        <v>1528.0</v>
      </c>
      <c r="F150" s="2">
        <v>1529.0</v>
      </c>
      <c r="G150" s="2" t="s">
        <v>32</v>
      </c>
      <c r="H150" s="2" t="s">
        <v>260</v>
      </c>
      <c r="I150" s="49" t="s">
        <v>494</v>
      </c>
      <c r="K150" s="2"/>
    </row>
    <row r="151">
      <c r="A151" s="2">
        <v>42.0</v>
      </c>
      <c r="B151" s="2" t="s">
        <v>267</v>
      </c>
      <c r="C151" s="2" t="s">
        <v>258</v>
      </c>
      <c r="D151" s="2" t="s">
        <v>394</v>
      </c>
      <c r="E151" s="2">
        <v>1538.0</v>
      </c>
      <c r="F151" s="2">
        <v>1539.0</v>
      </c>
      <c r="G151" s="2"/>
      <c r="H151" s="7" t="s">
        <v>306</v>
      </c>
      <c r="I151" s="49" t="s">
        <v>497</v>
      </c>
      <c r="K151" s="2"/>
    </row>
    <row r="152">
      <c r="A152" s="2">
        <v>43.0</v>
      </c>
      <c r="B152" s="2" t="s">
        <v>267</v>
      </c>
      <c r="C152" s="2" t="s">
        <v>258</v>
      </c>
      <c r="D152" s="2" t="s">
        <v>394</v>
      </c>
      <c r="E152" s="2">
        <v>1545.0</v>
      </c>
      <c r="F152" s="2">
        <v>1756.0</v>
      </c>
      <c r="G152" s="2" t="s">
        <v>32</v>
      </c>
      <c r="H152" s="2" t="s">
        <v>260</v>
      </c>
      <c r="I152" s="49" t="s">
        <v>499</v>
      </c>
      <c r="K152" s="2"/>
    </row>
    <row r="153">
      <c r="A153" s="2">
        <v>44.0</v>
      </c>
      <c r="B153" s="2" t="s">
        <v>267</v>
      </c>
      <c r="C153" s="2" t="s">
        <v>258</v>
      </c>
      <c r="D153" s="2" t="s">
        <v>394</v>
      </c>
      <c r="E153" s="2">
        <v>1551.0</v>
      </c>
      <c r="F153" s="2">
        <v>1573.0</v>
      </c>
      <c r="G153" s="2" t="s">
        <v>32</v>
      </c>
      <c r="H153" s="7" t="s">
        <v>255</v>
      </c>
      <c r="I153" s="49" t="s">
        <v>500</v>
      </c>
      <c r="K153" s="2"/>
    </row>
    <row r="154">
      <c r="A154" s="2">
        <v>45.0</v>
      </c>
      <c r="B154" s="2" t="s">
        <v>267</v>
      </c>
      <c r="C154" s="2" t="s">
        <v>258</v>
      </c>
      <c r="D154" s="2" t="s">
        <v>259</v>
      </c>
      <c r="E154" s="2">
        <v>1596.0</v>
      </c>
      <c r="F154" s="2">
        <v>2120.0</v>
      </c>
      <c r="G154" s="2" t="s">
        <v>32</v>
      </c>
      <c r="H154" s="7" t="s">
        <v>232</v>
      </c>
      <c r="I154" s="49" t="s">
        <v>501</v>
      </c>
    </row>
    <row r="155">
      <c r="A155" s="2">
        <v>46.0</v>
      </c>
      <c r="B155" s="2" t="s">
        <v>267</v>
      </c>
      <c r="C155" s="2" t="s">
        <v>258</v>
      </c>
      <c r="D155" s="2" t="s">
        <v>394</v>
      </c>
      <c r="E155" s="2">
        <v>1651.0</v>
      </c>
      <c r="F155" s="2">
        <v>1658.0</v>
      </c>
      <c r="G155" s="2" t="s">
        <v>32</v>
      </c>
      <c r="H155" s="7" t="s">
        <v>306</v>
      </c>
      <c r="I155" s="49" t="s">
        <v>502</v>
      </c>
    </row>
    <row r="156">
      <c r="A156" s="2">
        <v>47.0</v>
      </c>
      <c r="B156" s="2" t="s">
        <v>267</v>
      </c>
      <c r="C156" s="2" t="s">
        <v>258</v>
      </c>
      <c r="D156" s="2" t="s">
        <v>259</v>
      </c>
      <c r="E156" s="2">
        <v>1665.0</v>
      </c>
      <c r="F156" s="2">
        <v>1775.0</v>
      </c>
      <c r="G156" s="2" t="s">
        <v>32</v>
      </c>
      <c r="H156" s="2" t="s">
        <v>260</v>
      </c>
      <c r="I156" s="49" t="s">
        <v>504</v>
      </c>
    </row>
    <row r="157">
      <c r="A157" s="2">
        <v>48.0</v>
      </c>
      <c r="B157" s="2" t="s">
        <v>267</v>
      </c>
      <c r="C157" s="2" t="s">
        <v>258</v>
      </c>
      <c r="D157" s="2" t="s">
        <v>394</v>
      </c>
      <c r="E157" s="2">
        <v>1686.0</v>
      </c>
      <c r="F157" s="2">
        <v>1706.0</v>
      </c>
      <c r="G157" s="2" t="s">
        <v>32</v>
      </c>
      <c r="H157" s="7" t="s">
        <v>232</v>
      </c>
      <c r="I157" s="49" t="s">
        <v>505</v>
      </c>
    </row>
    <row r="158">
      <c r="A158" s="2">
        <v>49.0</v>
      </c>
      <c r="B158" s="2" t="s">
        <v>267</v>
      </c>
      <c r="C158" s="2" t="s">
        <v>258</v>
      </c>
      <c r="D158" s="2" t="s">
        <v>394</v>
      </c>
      <c r="E158" s="2">
        <v>1687.0</v>
      </c>
      <c r="F158" s="2">
        <v>1734.0</v>
      </c>
      <c r="G158" s="2" t="s">
        <v>32</v>
      </c>
      <c r="H158" s="7" t="s">
        <v>232</v>
      </c>
      <c r="I158" s="49" t="s">
        <v>506</v>
      </c>
    </row>
    <row r="159">
      <c r="A159" s="2">
        <v>50.0</v>
      </c>
      <c r="B159" s="2" t="s">
        <v>267</v>
      </c>
      <c r="C159" s="2" t="s">
        <v>258</v>
      </c>
      <c r="D159" s="2" t="s">
        <v>394</v>
      </c>
      <c r="E159" s="2">
        <v>1688.0</v>
      </c>
      <c r="F159" s="2">
        <v>1738.0</v>
      </c>
      <c r="G159" s="2" t="s">
        <v>32</v>
      </c>
      <c r="H159" s="7" t="s">
        <v>232</v>
      </c>
      <c r="I159" s="49" t="s">
        <v>508</v>
      </c>
    </row>
    <row r="160">
      <c r="A160" s="2">
        <v>51.0</v>
      </c>
      <c r="B160" s="2" t="s">
        <v>267</v>
      </c>
      <c r="C160" s="2" t="s">
        <v>258</v>
      </c>
      <c r="D160" s="2" t="s">
        <v>394</v>
      </c>
      <c r="E160" s="2">
        <v>1689.0</v>
      </c>
      <c r="F160" s="2">
        <v>1733.0</v>
      </c>
      <c r="G160" s="2" t="s">
        <v>32</v>
      </c>
      <c r="H160" s="7" t="s">
        <v>232</v>
      </c>
      <c r="I160" s="49" t="s">
        <v>510</v>
      </c>
    </row>
    <row r="161">
      <c r="A161" s="2">
        <v>52.0</v>
      </c>
      <c r="B161" s="2" t="s">
        <v>267</v>
      </c>
      <c r="C161" s="2" t="s">
        <v>258</v>
      </c>
      <c r="D161" s="2" t="s">
        <v>394</v>
      </c>
      <c r="E161" s="2">
        <v>1696.0</v>
      </c>
      <c r="F161" s="2">
        <v>1878.0</v>
      </c>
      <c r="G161" s="2" t="s">
        <v>32</v>
      </c>
      <c r="H161" s="2" t="s">
        <v>250</v>
      </c>
      <c r="I161" s="49" t="s">
        <v>511</v>
      </c>
    </row>
    <row r="162">
      <c r="A162" s="2">
        <v>53.0</v>
      </c>
      <c r="B162" s="2" t="s">
        <v>267</v>
      </c>
      <c r="C162" s="2" t="s">
        <v>258</v>
      </c>
      <c r="D162" s="2" t="s">
        <v>394</v>
      </c>
      <c r="E162" s="2">
        <v>1702.0</v>
      </c>
      <c r="F162" s="2">
        <v>1707.0</v>
      </c>
      <c r="G162" s="2" t="s">
        <v>32</v>
      </c>
      <c r="H162" s="7" t="s">
        <v>232</v>
      </c>
      <c r="I162" s="49" t="s">
        <v>512</v>
      </c>
    </row>
    <row r="163">
      <c r="A163" s="2">
        <v>54.0</v>
      </c>
      <c r="B163" s="2" t="s">
        <v>267</v>
      </c>
      <c r="C163" s="2" t="s">
        <v>258</v>
      </c>
      <c r="D163" s="2" t="s">
        <v>394</v>
      </c>
      <c r="E163" s="2">
        <v>1705.0</v>
      </c>
      <c r="F163" s="2">
        <v>1808.0</v>
      </c>
      <c r="G163" s="2" t="s">
        <v>32</v>
      </c>
      <c r="H163" s="2" t="s">
        <v>260</v>
      </c>
      <c r="I163" s="49" t="s">
        <v>513</v>
      </c>
    </row>
    <row r="164">
      <c r="A164" s="2">
        <v>55.0</v>
      </c>
      <c r="B164" s="2" t="s">
        <v>267</v>
      </c>
      <c r="C164" s="2" t="s">
        <v>258</v>
      </c>
      <c r="D164" s="2" t="s">
        <v>259</v>
      </c>
      <c r="E164" s="2">
        <v>1702.0</v>
      </c>
      <c r="F164" s="2">
        <v>1703.0</v>
      </c>
      <c r="G164" s="2" t="s">
        <v>32</v>
      </c>
      <c r="H164" s="2" t="s">
        <v>250</v>
      </c>
      <c r="I164" s="49" t="s">
        <v>515</v>
      </c>
    </row>
    <row r="165">
      <c r="A165" s="2">
        <v>56.0</v>
      </c>
      <c r="B165" s="2" t="s">
        <v>267</v>
      </c>
      <c r="C165" s="2" t="s">
        <v>258</v>
      </c>
      <c r="D165" s="2" t="s">
        <v>259</v>
      </c>
      <c r="E165" s="2">
        <v>1704.0</v>
      </c>
      <c r="F165" s="2">
        <v>1734.0</v>
      </c>
      <c r="G165" s="2" t="s">
        <v>32</v>
      </c>
      <c r="H165" s="2" t="s">
        <v>260</v>
      </c>
      <c r="I165" s="49" t="s">
        <v>516</v>
      </c>
    </row>
    <row r="166">
      <c r="A166" s="2">
        <v>57.0</v>
      </c>
      <c r="B166" s="2" t="s">
        <v>267</v>
      </c>
      <c r="C166" s="2" t="s">
        <v>258</v>
      </c>
      <c r="D166" s="2" t="s">
        <v>394</v>
      </c>
      <c r="E166" s="2">
        <v>1714.0</v>
      </c>
      <c r="F166" s="2">
        <v>1719.0</v>
      </c>
      <c r="G166" s="2" t="s">
        <v>32</v>
      </c>
      <c r="H166" s="7" t="s">
        <v>232</v>
      </c>
      <c r="I166" s="49" t="s">
        <v>517</v>
      </c>
    </row>
    <row r="167">
      <c r="A167" s="2">
        <v>58.0</v>
      </c>
      <c r="B167" s="2" t="s">
        <v>267</v>
      </c>
      <c r="C167" s="2" t="s">
        <v>258</v>
      </c>
      <c r="D167" s="2" t="s">
        <v>259</v>
      </c>
      <c r="E167" s="2">
        <v>1714.0</v>
      </c>
      <c r="F167" s="2">
        <v>1717.0</v>
      </c>
      <c r="G167" s="2" t="s">
        <v>32</v>
      </c>
      <c r="H167" s="7" t="s">
        <v>255</v>
      </c>
      <c r="I167" s="49" t="s">
        <v>519</v>
      </c>
    </row>
    <row r="168">
      <c r="A168" s="2">
        <v>59.0</v>
      </c>
      <c r="B168" s="2" t="s">
        <v>267</v>
      </c>
      <c r="C168" s="2" t="s">
        <v>258</v>
      </c>
      <c r="D168" s="2" t="s">
        <v>259</v>
      </c>
      <c r="E168" s="2">
        <v>1723.0</v>
      </c>
      <c r="F168" s="2">
        <v>1735.0</v>
      </c>
      <c r="G168" s="2" t="s">
        <v>32</v>
      </c>
      <c r="H168" s="2" t="s">
        <v>260</v>
      </c>
      <c r="I168" s="49" t="s">
        <v>520</v>
      </c>
    </row>
    <row r="169">
      <c r="A169" s="2">
        <v>60.0</v>
      </c>
      <c r="B169" s="2" t="s">
        <v>267</v>
      </c>
      <c r="C169" s="2" t="s">
        <v>258</v>
      </c>
      <c r="D169" s="2" t="s">
        <v>259</v>
      </c>
      <c r="E169" s="2">
        <v>1724.0</v>
      </c>
      <c r="F169" s="2">
        <v>1732.0</v>
      </c>
      <c r="G169" s="2" t="s">
        <v>32</v>
      </c>
      <c r="H169" s="2" t="s">
        <v>250</v>
      </c>
      <c r="I169" s="49" t="s">
        <v>521</v>
      </c>
    </row>
    <row r="170">
      <c r="A170" s="2">
        <v>61.0</v>
      </c>
      <c r="B170" s="2" t="s">
        <v>267</v>
      </c>
      <c r="C170" s="2" t="s">
        <v>258</v>
      </c>
      <c r="D170" s="2" t="s">
        <v>259</v>
      </c>
      <c r="E170" s="2">
        <v>1727.0</v>
      </c>
      <c r="F170" s="2">
        <v>1738.0</v>
      </c>
      <c r="G170" s="2" t="s">
        <v>32</v>
      </c>
      <c r="H170" s="2" t="s">
        <v>260</v>
      </c>
      <c r="I170" s="49" t="s">
        <v>522</v>
      </c>
    </row>
    <row r="171">
      <c r="A171" s="2">
        <v>62.0</v>
      </c>
      <c r="B171" s="2" t="s">
        <v>267</v>
      </c>
      <c r="C171" s="2" t="s">
        <v>258</v>
      </c>
      <c r="D171" s="2" t="s">
        <v>394</v>
      </c>
      <c r="E171" s="2">
        <v>1732.0</v>
      </c>
      <c r="F171" s="2">
        <v>1830.0</v>
      </c>
      <c r="G171" s="2" t="s">
        <v>32</v>
      </c>
      <c r="H171" s="2" t="s">
        <v>250</v>
      </c>
      <c r="I171" s="49" t="s">
        <v>523</v>
      </c>
    </row>
    <row r="172">
      <c r="A172" s="2">
        <v>63.0</v>
      </c>
      <c r="B172" s="2" t="s">
        <v>267</v>
      </c>
      <c r="C172" s="2" t="s">
        <v>258</v>
      </c>
      <c r="D172" s="2" t="s">
        <v>259</v>
      </c>
      <c r="E172" s="2">
        <v>1745.0</v>
      </c>
      <c r="F172" s="2">
        <v>2150.0</v>
      </c>
      <c r="G172" s="2" t="s">
        <v>32</v>
      </c>
      <c r="H172" s="2" t="s">
        <v>260</v>
      </c>
      <c r="I172" s="49" t="s">
        <v>525</v>
      </c>
    </row>
    <row r="173">
      <c r="A173" s="2">
        <v>64.0</v>
      </c>
      <c r="B173" s="2" t="s">
        <v>267</v>
      </c>
      <c r="C173" s="2" t="s">
        <v>258</v>
      </c>
      <c r="D173" s="2" t="s">
        <v>259</v>
      </c>
      <c r="E173" s="2">
        <v>1765.0</v>
      </c>
      <c r="F173" s="2">
        <v>1774.0</v>
      </c>
      <c r="G173" s="2" t="s">
        <v>32</v>
      </c>
      <c r="H173" s="2" t="s">
        <v>250</v>
      </c>
      <c r="I173" s="49" t="s">
        <v>526</v>
      </c>
    </row>
    <row r="174">
      <c r="A174" s="2">
        <v>65.0</v>
      </c>
      <c r="B174" s="2" t="s">
        <v>267</v>
      </c>
      <c r="C174" s="2" t="s">
        <v>258</v>
      </c>
      <c r="D174" s="2" t="s">
        <v>259</v>
      </c>
      <c r="E174" s="2">
        <v>1792.0</v>
      </c>
      <c r="F174" s="2">
        <v>1822.0</v>
      </c>
      <c r="G174" s="2" t="s">
        <v>32</v>
      </c>
      <c r="H174" s="7" t="s">
        <v>255</v>
      </c>
      <c r="I174" s="49" t="s">
        <v>527</v>
      </c>
    </row>
    <row r="175">
      <c r="A175" s="2">
        <v>66.0</v>
      </c>
      <c r="B175" s="2" t="s">
        <v>267</v>
      </c>
      <c r="C175" s="2" t="s">
        <v>258</v>
      </c>
      <c r="D175" s="2" t="s">
        <v>259</v>
      </c>
      <c r="E175" s="2">
        <v>1793.0</v>
      </c>
      <c r="F175" s="2">
        <v>1815.0</v>
      </c>
      <c r="G175" s="2" t="s">
        <v>32</v>
      </c>
      <c r="H175" s="7" t="s">
        <v>306</v>
      </c>
      <c r="I175" s="49" t="s">
        <v>528</v>
      </c>
    </row>
    <row r="176">
      <c r="A176" s="2">
        <v>67.0</v>
      </c>
      <c r="B176" s="2" t="s">
        <v>267</v>
      </c>
      <c r="C176" s="2" t="s">
        <v>258</v>
      </c>
      <c r="D176" s="2" t="s">
        <v>394</v>
      </c>
      <c r="E176" s="2">
        <v>1798.0</v>
      </c>
      <c r="F176" s="2">
        <v>1803.0</v>
      </c>
      <c r="G176" s="2" t="s">
        <v>32</v>
      </c>
      <c r="H176" s="2" t="s">
        <v>260</v>
      </c>
      <c r="I176" s="49" t="s">
        <v>531</v>
      </c>
    </row>
    <row r="177">
      <c r="A177" s="2">
        <v>68.0</v>
      </c>
      <c r="B177" s="2" t="s">
        <v>267</v>
      </c>
      <c r="C177" s="2" t="s">
        <v>258</v>
      </c>
      <c r="D177" s="2" t="s">
        <v>394</v>
      </c>
      <c r="E177" s="2">
        <v>1810.0</v>
      </c>
      <c r="F177" s="2">
        <v>1803.0</v>
      </c>
      <c r="G177" s="2" t="s">
        <v>32</v>
      </c>
      <c r="H177" s="7" t="s">
        <v>232</v>
      </c>
      <c r="I177" s="49" t="s">
        <v>532</v>
      </c>
    </row>
    <row r="178">
      <c r="A178" s="2">
        <v>69.0</v>
      </c>
      <c r="B178" s="2" t="s">
        <v>267</v>
      </c>
      <c r="C178" s="2" t="s">
        <v>258</v>
      </c>
      <c r="D178" s="2" t="s">
        <v>394</v>
      </c>
      <c r="E178" s="2">
        <v>1813.0</v>
      </c>
      <c r="F178" s="2">
        <v>1814.0</v>
      </c>
      <c r="G178" s="2" t="s">
        <v>32</v>
      </c>
      <c r="H178" s="2" t="s">
        <v>250</v>
      </c>
      <c r="I178" s="49" t="s">
        <v>533</v>
      </c>
    </row>
    <row r="179">
      <c r="A179" s="2">
        <v>70.0</v>
      </c>
      <c r="B179" s="2" t="s">
        <v>267</v>
      </c>
      <c r="C179" s="2" t="s">
        <v>258</v>
      </c>
      <c r="D179" s="2" t="s">
        <v>259</v>
      </c>
      <c r="E179" s="2">
        <v>1817.0</v>
      </c>
      <c r="F179" s="2">
        <v>1819.0</v>
      </c>
      <c r="G179" s="2" t="s">
        <v>32</v>
      </c>
      <c r="H179" s="2" t="s">
        <v>250</v>
      </c>
      <c r="I179" s="49" t="s">
        <v>535</v>
      </c>
    </row>
    <row r="180">
      <c r="A180" s="2">
        <v>71.0</v>
      </c>
      <c r="B180" s="2" t="s">
        <v>267</v>
      </c>
      <c r="C180" s="2" t="s">
        <v>258</v>
      </c>
      <c r="D180" s="2" t="s">
        <v>394</v>
      </c>
      <c r="E180" s="2">
        <v>1820.0</v>
      </c>
      <c r="F180" s="2">
        <v>1821.0</v>
      </c>
      <c r="G180" s="2" t="s">
        <v>32</v>
      </c>
      <c r="H180" s="2" t="s">
        <v>260</v>
      </c>
      <c r="I180" s="49" t="s">
        <v>537</v>
      </c>
    </row>
    <row r="181">
      <c r="A181" s="2">
        <v>72.0</v>
      </c>
      <c r="B181" s="2" t="s">
        <v>267</v>
      </c>
      <c r="C181" s="2" t="s">
        <v>258</v>
      </c>
      <c r="D181" s="2" t="s">
        <v>394</v>
      </c>
      <c r="E181" s="2">
        <v>1828.0</v>
      </c>
      <c r="F181" s="2">
        <v>1829.0</v>
      </c>
      <c r="G181" s="2" t="s">
        <v>32</v>
      </c>
      <c r="H181" s="2" t="s">
        <v>260</v>
      </c>
      <c r="I181" s="49" t="s">
        <v>538</v>
      </c>
    </row>
    <row r="182">
      <c r="A182" s="2">
        <v>73.0</v>
      </c>
      <c r="B182" s="2" t="s">
        <v>267</v>
      </c>
      <c r="C182" s="2" t="s">
        <v>258</v>
      </c>
      <c r="D182" s="2" t="s">
        <v>259</v>
      </c>
      <c r="E182" s="2">
        <v>1885.0</v>
      </c>
      <c r="F182" s="2">
        <v>1887.0</v>
      </c>
      <c r="G182" s="2"/>
      <c r="H182" s="7" t="s">
        <v>255</v>
      </c>
      <c r="I182" s="49" t="s">
        <v>539</v>
      </c>
    </row>
    <row r="183">
      <c r="A183" s="2">
        <v>74.0</v>
      </c>
      <c r="B183" s="2" t="s">
        <v>267</v>
      </c>
      <c r="C183" s="2" t="s">
        <v>258</v>
      </c>
      <c r="D183" s="2" t="s">
        <v>259</v>
      </c>
      <c r="E183" s="2">
        <v>1890.0</v>
      </c>
      <c r="F183" s="2">
        <v>1918.0</v>
      </c>
      <c r="G183" s="2" t="s">
        <v>32</v>
      </c>
      <c r="H183" s="7" t="s">
        <v>232</v>
      </c>
      <c r="I183" s="49" t="s">
        <v>541</v>
      </c>
    </row>
    <row r="184">
      <c r="A184" s="2">
        <v>75.0</v>
      </c>
      <c r="B184" s="2" t="s">
        <v>267</v>
      </c>
      <c r="C184" s="2" t="s">
        <v>258</v>
      </c>
      <c r="D184" s="2" t="s">
        <v>259</v>
      </c>
      <c r="E184" s="2">
        <v>1892.0</v>
      </c>
      <c r="F184" s="2">
        <v>1894.0</v>
      </c>
      <c r="G184" s="2" t="s">
        <v>32</v>
      </c>
      <c r="H184" s="2" t="s">
        <v>250</v>
      </c>
      <c r="I184" s="49" t="s">
        <v>543</v>
      </c>
    </row>
    <row r="185">
      <c r="A185" s="2">
        <v>76.0</v>
      </c>
      <c r="B185" s="2" t="s">
        <v>267</v>
      </c>
      <c r="C185" s="2" t="s">
        <v>258</v>
      </c>
      <c r="D185" s="2" t="s">
        <v>259</v>
      </c>
      <c r="E185" s="2">
        <v>1900.0</v>
      </c>
      <c r="F185" s="2">
        <v>1901.0</v>
      </c>
      <c r="G185" s="2" t="s">
        <v>32</v>
      </c>
      <c r="H185" s="2" t="s">
        <v>250</v>
      </c>
      <c r="I185" s="49" t="s">
        <v>544</v>
      </c>
    </row>
    <row r="186">
      <c r="A186" s="2">
        <v>77.0</v>
      </c>
      <c r="B186" s="2" t="s">
        <v>267</v>
      </c>
      <c r="C186" s="2" t="s">
        <v>258</v>
      </c>
      <c r="D186" s="2" t="s">
        <v>259</v>
      </c>
      <c r="E186" s="2">
        <v>1904.0</v>
      </c>
      <c r="F186" s="2">
        <v>1906.0</v>
      </c>
      <c r="G186" s="2" t="s">
        <v>32</v>
      </c>
      <c r="H186" s="7" t="s">
        <v>232</v>
      </c>
      <c r="I186" s="49" t="s">
        <v>545</v>
      </c>
    </row>
    <row r="187">
      <c r="A187" s="2">
        <v>78.0</v>
      </c>
      <c r="B187" s="2" t="s">
        <v>267</v>
      </c>
      <c r="C187" s="2" t="s">
        <v>258</v>
      </c>
      <c r="D187" s="2" t="s">
        <v>259</v>
      </c>
      <c r="E187" s="2">
        <v>1924.0</v>
      </c>
      <c r="F187" s="2">
        <v>1942.0</v>
      </c>
      <c r="G187" s="2" t="s">
        <v>32</v>
      </c>
      <c r="H187" s="2" t="s">
        <v>260</v>
      </c>
      <c r="I187" s="49" t="s">
        <v>546</v>
      </c>
    </row>
    <row r="188">
      <c r="A188" s="2">
        <v>79.0</v>
      </c>
      <c r="B188" s="2" t="s">
        <v>267</v>
      </c>
      <c r="C188" s="2" t="s">
        <v>258</v>
      </c>
      <c r="D188" s="2" t="s">
        <v>259</v>
      </c>
      <c r="E188" s="2">
        <v>1965.0</v>
      </c>
      <c r="F188" s="2">
        <v>1966.0</v>
      </c>
      <c r="G188" s="2" t="s">
        <v>32</v>
      </c>
      <c r="H188" s="7" t="s">
        <v>232</v>
      </c>
      <c r="I188" s="49" t="s">
        <v>548</v>
      </c>
    </row>
    <row r="189">
      <c r="A189" s="2">
        <v>80.0</v>
      </c>
      <c r="B189" s="2" t="s">
        <v>267</v>
      </c>
      <c r="C189" s="2" t="s">
        <v>258</v>
      </c>
      <c r="D189" s="2" t="s">
        <v>259</v>
      </c>
      <c r="E189" s="2">
        <v>2000.0</v>
      </c>
      <c r="F189" s="2">
        <v>2001.0</v>
      </c>
      <c r="G189" s="2" t="s">
        <v>32</v>
      </c>
      <c r="H189" s="7" t="s">
        <v>306</v>
      </c>
      <c r="I189" s="49" t="s">
        <v>549</v>
      </c>
    </row>
    <row r="190">
      <c r="A190" s="2">
        <v>81.0</v>
      </c>
      <c r="B190" s="2" t="s">
        <v>267</v>
      </c>
      <c r="C190" s="2" t="s">
        <v>258</v>
      </c>
      <c r="D190" s="2" t="s">
        <v>394</v>
      </c>
      <c r="E190" s="2">
        <v>2007.0</v>
      </c>
      <c r="F190" s="2">
        <v>2008.0</v>
      </c>
      <c r="G190" s="2" t="s">
        <v>32</v>
      </c>
      <c r="H190" s="7" t="s">
        <v>255</v>
      </c>
      <c r="I190" s="49" t="s">
        <v>551</v>
      </c>
    </row>
    <row r="191">
      <c r="A191" s="2">
        <v>82.0</v>
      </c>
      <c r="B191" s="2" t="s">
        <v>267</v>
      </c>
      <c r="C191" s="2" t="s">
        <v>258</v>
      </c>
      <c r="D191" s="2" t="s">
        <v>259</v>
      </c>
      <c r="E191" s="2">
        <v>2052.0</v>
      </c>
      <c r="F191" s="2">
        <v>2053.0</v>
      </c>
      <c r="G191" s="2" t="s">
        <v>32</v>
      </c>
      <c r="H191" s="7" t="s">
        <v>255</v>
      </c>
      <c r="I191" s="49" t="s">
        <v>552</v>
      </c>
    </row>
    <row r="192">
      <c r="A192" s="2">
        <v>83.0</v>
      </c>
      <c r="B192" s="2" t="s">
        <v>267</v>
      </c>
      <c r="C192" s="2" t="s">
        <v>258</v>
      </c>
      <c r="D192" s="2" t="s">
        <v>259</v>
      </c>
      <c r="E192" s="2">
        <v>2055.0</v>
      </c>
      <c r="F192" s="2">
        <v>2056.0</v>
      </c>
      <c r="G192" s="2" t="s">
        <v>32</v>
      </c>
      <c r="H192" s="7" t="s">
        <v>255</v>
      </c>
      <c r="I192" s="49" t="s">
        <v>554</v>
      </c>
    </row>
    <row r="193">
      <c r="A193" s="2">
        <v>84.0</v>
      </c>
      <c r="B193" s="2" t="s">
        <v>267</v>
      </c>
      <c r="C193" s="2" t="s">
        <v>258</v>
      </c>
      <c r="D193" s="2" t="s">
        <v>394</v>
      </c>
      <c r="E193" s="2">
        <v>2089.0</v>
      </c>
      <c r="F193" s="2">
        <v>2952.0</v>
      </c>
      <c r="G193" s="2" t="s">
        <v>32</v>
      </c>
      <c r="H193" s="7" t="s">
        <v>232</v>
      </c>
      <c r="I193" s="49" t="s">
        <v>555</v>
      </c>
    </row>
    <row r="194">
      <c r="A194" s="2">
        <v>85.0</v>
      </c>
      <c r="B194" s="2" t="s">
        <v>267</v>
      </c>
      <c r="C194" s="2" t="s">
        <v>258</v>
      </c>
      <c r="D194" s="2" t="s">
        <v>394</v>
      </c>
      <c r="E194" s="2">
        <v>2090.0</v>
      </c>
      <c r="F194" s="2">
        <v>2091.0</v>
      </c>
      <c r="G194" s="2" t="s">
        <v>32</v>
      </c>
      <c r="H194" s="2" t="s">
        <v>250</v>
      </c>
      <c r="I194" s="49" t="s">
        <v>556</v>
      </c>
    </row>
    <row r="195">
      <c r="A195" s="2">
        <v>86.0</v>
      </c>
      <c r="B195" s="2" t="s">
        <v>267</v>
      </c>
      <c r="C195" s="2" t="s">
        <v>258</v>
      </c>
      <c r="D195" s="2" t="s">
        <v>259</v>
      </c>
      <c r="E195" s="2">
        <v>2090.0</v>
      </c>
      <c r="F195" s="2">
        <v>2093.0</v>
      </c>
      <c r="G195" s="2" t="s">
        <v>32</v>
      </c>
      <c r="H195" s="2" t="s">
        <v>260</v>
      </c>
      <c r="I195" s="49" t="s">
        <v>557</v>
      </c>
    </row>
    <row r="196">
      <c r="A196" s="2">
        <v>87.0</v>
      </c>
      <c r="B196" s="2" t="s">
        <v>267</v>
      </c>
      <c r="C196" s="2" t="s">
        <v>258</v>
      </c>
      <c r="D196" s="2" t="s">
        <v>394</v>
      </c>
      <c r="E196" s="2">
        <v>2122.0</v>
      </c>
      <c r="F196" s="2">
        <v>2123.0</v>
      </c>
      <c r="G196" s="2" t="s">
        <v>32</v>
      </c>
      <c r="H196" s="2" t="s">
        <v>250</v>
      </c>
      <c r="I196" s="49" t="s">
        <v>559</v>
      </c>
    </row>
    <row r="197">
      <c r="A197" s="2">
        <v>88.0</v>
      </c>
      <c r="B197" s="2" t="s">
        <v>267</v>
      </c>
      <c r="C197" s="2" t="s">
        <v>258</v>
      </c>
      <c r="D197" s="2" t="s">
        <v>259</v>
      </c>
      <c r="E197" s="2">
        <v>2130.0</v>
      </c>
      <c r="F197" s="2">
        <v>2132.0</v>
      </c>
      <c r="G197" s="2" t="s">
        <v>32</v>
      </c>
      <c r="H197" s="7" t="s">
        <v>255</v>
      </c>
      <c r="I197" s="49" t="s">
        <v>560</v>
      </c>
    </row>
    <row r="198">
      <c r="A198" s="2">
        <v>89.0</v>
      </c>
      <c r="B198" s="2" t="s">
        <v>267</v>
      </c>
      <c r="C198" s="2" t="s">
        <v>258</v>
      </c>
      <c r="D198" s="2" t="s">
        <v>394</v>
      </c>
      <c r="E198" s="2">
        <v>2130.0</v>
      </c>
      <c r="F198" s="2">
        <v>2164.0</v>
      </c>
      <c r="G198" s="2" t="s">
        <v>32</v>
      </c>
      <c r="H198" s="7" t="s">
        <v>232</v>
      </c>
      <c r="I198" s="49" t="s">
        <v>562</v>
      </c>
    </row>
    <row r="199">
      <c r="A199" s="2">
        <v>90.0</v>
      </c>
      <c r="B199" s="2" t="s">
        <v>267</v>
      </c>
      <c r="C199" s="2" t="s">
        <v>258</v>
      </c>
      <c r="D199" s="2" t="s">
        <v>394</v>
      </c>
      <c r="E199" s="2">
        <v>2133.0</v>
      </c>
      <c r="F199" s="2">
        <v>2134.0</v>
      </c>
      <c r="G199" s="2" t="s">
        <v>32</v>
      </c>
      <c r="H199" s="2" t="s">
        <v>260</v>
      </c>
      <c r="I199" s="49" t="s">
        <v>563</v>
      </c>
    </row>
    <row r="200">
      <c r="A200" s="2">
        <v>91.0</v>
      </c>
      <c r="B200" s="2" t="s">
        <v>267</v>
      </c>
      <c r="C200" s="2" t="s">
        <v>258</v>
      </c>
      <c r="D200" s="2" t="s">
        <v>259</v>
      </c>
      <c r="E200" s="2">
        <v>2135.0</v>
      </c>
      <c r="F200" s="2">
        <v>2139.0</v>
      </c>
      <c r="G200" s="2" t="s">
        <v>32</v>
      </c>
      <c r="H200" s="2" t="s">
        <v>250</v>
      </c>
      <c r="I200" s="49" t="s">
        <v>564</v>
      </c>
    </row>
    <row r="201">
      <c r="A201" s="2">
        <v>92.0</v>
      </c>
      <c r="B201" s="2" t="s">
        <v>267</v>
      </c>
      <c r="C201" s="2" t="s">
        <v>258</v>
      </c>
      <c r="D201" s="2" t="s">
        <v>394</v>
      </c>
      <c r="E201" s="2">
        <v>2163.0</v>
      </c>
      <c r="F201" s="2">
        <v>2201.0</v>
      </c>
      <c r="G201" s="2" t="s">
        <v>32</v>
      </c>
      <c r="H201" s="7" t="s">
        <v>232</v>
      </c>
      <c r="I201" s="49" t="s">
        <v>565</v>
      </c>
    </row>
    <row r="202">
      <c r="A202" s="2">
        <v>93.0</v>
      </c>
      <c r="B202" s="2" t="s">
        <v>267</v>
      </c>
      <c r="C202" s="2" t="s">
        <v>258</v>
      </c>
      <c r="D202" s="2" t="s">
        <v>259</v>
      </c>
      <c r="E202" s="2">
        <v>2166.0</v>
      </c>
      <c r="F202" s="2">
        <v>2167.0</v>
      </c>
      <c r="G202" s="2" t="s">
        <v>32</v>
      </c>
      <c r="H202" s="7" t="s">
        <v>255</v>
      </c>
      <c r="I202" s="49" t="s">
        <v>567</v>
      </c>
    </row>
    <row r="203">
      <c r="A203" s="2">
        <v>94.0</v>
      </c>
      <c r="B203" s="2" t="s">
        <v>267</v>
      </c>
      <c r="C203" s="2" t="s">
        <v>258</v>
      </c>
      <c r="D203" s="2" t="s">
        <v>394</v>
      </c>
      <c r="E203" s="2">
        <v>2173.0</v>
      </c>
      <c r="F203" s="2">
        <v>2174.0</v>
      </c>
      <c r="G203" s="2" t="s">
        <v>32</v>
      </c>
      <c r="H203" s="2" t="s">
        <v>260</v>
      </c>
      <c r="I203" s="49" t="s">
        <v>569</v>
      </c>
    </row>
    <row r="204">
      <c r="A204" s="2">
        <v>95.0</v>
      </c>
      <c r="B204" s="2" t="s">
        <v>267</v>
      </c>
      <c r="C204" s="2" t="s">
        <v>258</v>
      </c>
      <c r="D204" s="2" t="s">
        <v>259</v>
      </c>
      <c r="E204" s="2">
        <v>2177.0</v>
      </c>
      <c r="F204" s="2">
        <v>2178.0</v>
      </c>
      <c r="G204" s="2"/>
      <c r="H204" s="2" t="s">
        <v>250</v>
      </c>
      <c r="I204" s="49" t="s">
        <v>570</v>
      </c>
    </row>
    <row r="205">
      <c r="A205" s="2">
        <v>96.0</v>
      </c>
      <c r="B205" s="2" t="s">
        <v>267</v>
      </c>
      <c r="C205" s="2" t="s">
        <v>230</v>
      </c>
      <c r="D205" s="2" t="s">
        <v>292</v>
      </c>
      <c r="E205" s="2">
        <v>2179.0</v>
      </c>
      <c r="F205" s="2">
        <v>2180.0</v>
      </c>
      <c r="G205" s="2"/>
      <c r="H205" s="2" t="s">
        <v>250</v>
      </c>
      <c r="I205" s="49" t="s">
        <v>571</v>
      </c>
    </row>
    <row r="206">
      <c r="A206" s="2">
        <v>97.0</v>
      </c>
      <c r="B206" s="2" t="s">
        <v>267</v>
      </c>
      <c r="C206" s="2" t="s">
        <v>258</v>
      </c>
      <c r="D206" s="2" t="s">
        <v>296</v>
      </c>
      <c r="E206" s="2">
        <v>2191.0</v>
      </c>
      <c r="F206" s="2">
        <v>2192.0</v>
      </c>
      <c r="G206" s="2" t="s">
        <v>32</v>
      </c>
      <c r="H206" s="2" t="s">
        <v>260</v>
      </c>
      <c r="I206" s="49" t="s">
        <v>573</v>
      </c>
    </row>
    <row r="207">
      <c r="A207" s="2">
        <v>98.0</v>
      </c>
      <c r="B207" s="2" t="s">
        <v>267</v>
      </c>
      <c r="C207" s="2" t="s">
        <v>258</v>
      </c>
      <c r="D207" s="2" t="s">
        <v>259</v>
      </c>
      <c r="E207" s="2">
        <v>2204.0</v>
      </c>
      <c r="F207" s="2">
        <v>2217.0</v>
      </c>
      <c r="G207" s="2" t="s">
        <v>32</v>
      </c>
      <c r="H207" s="7" t="s">
        <v>232</v>
      </c>
      <c r="I207" s="49" t="s">
        <v>574</v>
      </c>
    </row>
    <row r="208">
      <c r="A208" s="2">
        <v>99.0</v>
      </c>
      <c r="B208" s="2" t="s">
        <v>267</v>
      </c>
      <c r="C208" s="2" t="s">
        <v>258</v>
      </c>
      <c r="D208" s="2" t="s">
        <v>394</v>
      </c>
      <c r="E208" s="2">
        <v>2205.0</v>
      </c>
      <c r="F208" s="2">
        <v>2208.0</v>
      </c>
      <c r="G208" s="2" t="s">
        <v>32</v>
      </c>
      <c r="H208" s="2" t="s">
        <v>260</v>
      </c>
      <c r="I208" s="49" t="s">
        <v>576</v>
      </c>
    </row>
    <row r="209">
      <c r="A209" s="2">
        <v>100.0</v>
      </c>
      <c r="B209" s="2" t="s">
        <v>267</v>
      </c>
      <c r="C209" s="2" t="s">
        <v>258</v>
      </c>
      <c r="D209" s="2" t="s">
        <v>259</v>
      </c>
      <c r="E209" s="2">
        <v>2207.0</v>
      </c>
      <c r="F209" s="2">
        <v>2209.0</v>
      </c>
      <c r="G209" s="2" t="s">
        <v>32</v>
      </c>
      <c r="H209" s="2" t="s">
        <v>250</v>
      </c>
      <c r="I209" s="49" t="s">
        <v>577</v>
      </c>
    </row>
    <row r="210">
      <c r="A210" s="2">
        <v>101.0</v>
      </c>
      <c r="B210" s="2" t="s">
        <v>267</v>
      </c>
      <c r="C210" s="2" t="s">
        <v>258</v>
      </c>
      <c r="D210" s="2" t="s">
        <v>394</v>
      </c>
      <c r="E210" s="2">
        <v>2210.0</v>
      </c>
      <c r="F210" s="2">
        <v>2213.0</v>
      </c>
      <c r="G210" s="2" t="s">
        <v>32</v>
      </c>
      <c r="H210" s="2" t="s">
        <v>250</v>
      </c>
      <c r="I210" s="49" t="s">
        <v>579</v>
      </c>
    </row>
    <row r="211">
      <c r="A211" s="2">
        <v>102.0</v>
      </c>
      <c r="B211" s="2" t="s">
        <v>267</v>
      </c>
      <c r="C211" s="2" t="s">
        <v>258</v>
      </c>
      <c r="D211" s="2" t="s">
        <v>394</v>
      </c>
      <c r="E211" s="2">
        <v>2235.0</v>
      </c>
      <c r="F211" s="2">
        <v>2236.0</v>
      </c>
      <c r="G211" s="2" t="s">
        <v>32</v>
      </c>
      <c r="H211" s="7" t="s">
        <v>255</v>
      </c>
      <c r="I211" s="49" t="s">
        <v>580</v>
      </c>
    </row>
    <row r="212">
      <c r="A212" s="2">
        <v>103.0</v>
      </c>
      <c r="B212" s="81" t="s">
        <v>267</v>
      </c>
      <c r="C212" s="81" t="s">
        <v>258</v>
      </c>
      <c r="D212" s="81" t="s">
        <v>394</v>
      </c>
      <c r="E212" s="2">
        <v>2266.0</v>
      </c>
      <c r="F212" s="2">
        <v>2916.0</v>
      </c>
      <c r="G212" s="2" t="s">
        <v>32</v>
      </c>
      <c r="H212" s="7" t="s">
        <v>232</v>
      </c>
      <c r="I212" s="49" t="s">
        <v>581</v>
      </c>
    </row>
    <row r="213">
      <c r="A213" s="2">
        <v>104.0</v>
      </c>
      <c r="B213" s="2" t="s">
        <v>267</v>
      </c>
      <c r="C213" s="2" t="s">
        <v>258</v>
      </c>
      <c r="D213" s="2" t="s">
        <v>296</v>
      </c>
      <c r="E213" s="2">
        <v>2276.0</v>
      </c>
      <c r="F213" s="2">
        <v>2277.0</v>
      </c>
      <c r="G213" s="2" t="s">
        <v>32</v>
      </c>
      <c r="H213" s="2" t="s">
        <v>250</v>
      </c>
      <c r="I213" s="49" t="s">
        <v>583</v>
      </c>
    </row>
    <row r="214">
      <c r="A214" s="2">
        <v>105.0</v>
      </c>
      <c r="B214" s="81" t="s">
        <v>267</v>
      </c>
      <c r="C214" s="81" t="s">
        <v>258</v>
      </c>
      <c r="D214" s="81" t="s">
        <v>394</v>
      </c>
      <c r="E214" s="2">
        <v>2296.0</v>
      </c>
      <c r="F214" s="2">
        <v>3119.0</v>
      </c>
      <c r="G214" s="2" t="s">
        <v>32</v>
      </c>
      <c r="H214" s="2" t="s">
        <v>260</v>
      </c>
      <c r="I214" s="49" t="s">
        <v>584</v>
      </c>
    </row>
    <row r="215">
      <c r="A215" s="2">
        <v>106.0</v>
      </c>
      <c r="B215" s="81" t="s">
        <v>267</v>
      </c>
      <c r="C215" s="81" t="s">
        <v>258</v>
      </c>
      <c r="D215" s="81" t="s">
        <v>394</v>
      </c>
      <c r="E215" s="2">
        <v>2405.0</v>
      </c>
      <c r="F215" s="2">
        <v>2551.0</v>
      </c>
      <c r="G215" s="2" t="s">
        <v>32</v>
      </c>
      <c r="H215" s="2" t="s">
        <v>250</v>
      </c>
      <c r="I215" s="49" t="s">
        <v>585</v>
      </c>
    </row>
    <row r="216">
      <c r="A216" s="2">
        <v>107.0</v>
      </c>
      <c r="B216" s="81" t="s">
        <v>267</v>
      </c>
      <c r="C216" s="81" t="s">
        <v>258</v>
      </c>
      <c r="D216" s="81" t="s">
        <v>394</v>
      </c>
      <c r="E216" s="2">
        <v>2526.0</v>
      </c>
      <c r="F216" s="2">
        <v>455.0</v>
      </c>
      <c r="G216" s="2" t="s">
        <v>32</v>
      </c>
      <c r="H216" s="2" t="s">
        <v>260</v>
      </c>
      <c r="I216" s="49" t="s">
        <v>586</v>
      </c>
    </row>
    <row r="217">
      <c r="A217" s="2">
        <v>108.0</v>
      </c>
      <c r="B217" s="81" t="s">
        <v>267</v>
      </c>
      <c r="C217" s="81" t="s">
        <v>258</v>
      </c>
      <c r="D217" s="81" t="s">
        <v>394</v>
      </c>
      <c r="E217" s="2">
        <v>2635.0</v>
      </c>
      <c r="F217" s="2">
        <v>2639.0</v>
      </c>
      <c r="G217" s="2" t="s">
        <v>32</v>
      </c>
      <c r="H217" s="2" t="s">
        <v>260</v>
      </c>
      <c r="I217" s="49" t="s">
        <v>588</v>
      </c>
    </row>
    <row r="218">
      <c r="A218" s="2">
        <v>109.0</v>
      </c>
      <c r="B218" s="81" t="s">
        <v>267</v>
      </c>
      <c r="C218" s="81" t="s">
        <v>258</v>
      </c>
      <c r="D218" s="81" t="s">
        <v>394</v>
      </c>
      <c r="E218" s="2">
        <v>2652.0</v>
      </c>
      <c r="F218" s="2">
        <v>2656.0</v>
      </c>
      <c r="G218" s="2" t="s">
        <v>32</v>
      </c>
      <c r="H218" s="2" t="s">
        <v>260</v>
      </c>
      <c r="I218" s="49" t="s">
        <v>589</v>
      </c>
    </row>
    <row r="219">
      <c r="A219" s="2">
        <v>110.0</v>
      </c>
      <c r="B219" s="2" t="s">
        <v>267</v>
      </c>
      <c r="C219" s="2" t="s">
        <v>258</v>
      </c>
      <c r="D219" s="2" t="s">
        <v>296</v>
      </c>
      <c r="E219" s="2">
        <v>2789.0</v>
      </c>
      <c r="F219" s="2">
        <v>2793.0</v>
      </c>
      <c r="G219" s="2" t="s">
        <v>32</v>
      </c>
      <c r="H219" s="2" t="s">
        <v>260</v>
      </c>
      <c r="I219" s="49" t="s">
        <v>590</v>
      </c>
    </row>
    <row r="220">
      <c r="A220" s="2">
        <v>111.0</v>
      </c>
      <c r="B220" s="2" t="s">
        <v>267</v>
      </c>
      <c r="C220" s="2" t="s">
        <v>258</v>
      </c>
      <c r="D220" s="2" t="s">
        <v>296</v>
      </c>
      <c r="E220" s="2">
        <v>2910.0</v>
      </c>
      <c r="F220" s="2">
        <v>2963.0</v>
      </c>
      <c r="G220" s="2"/>
      <c r="H220" s="2" t="s">
        <v>250</v>
      </c>
      <c r="I220" s="49" t="s">
        <v>591</v>
      </c>
    </row>
    <row r="221">
      <c r="A221" s="2">
        <v>112.0</v>
      </c>
      <c r="B221" s="2" t="s">
        <v>267</v>
      </c>
      <c r="C221" s="2" t="s">
        <v>258</v>
      </c>
      <c r="D221" s="2" t="s">
        <v>296</v>
      </c>
      <c r="E221" s="2">
        <v>3112.0</v>
      </c>
      <c r="F221" s="2">
        <v>3120.0</v>
      </c>
      <c r="G221" s="2" t="s">
        <v>32</v>
      </c>
      <c r="H221" s="7" t="s">
        <v>306</v>
      </c>
      <c r="I221" s="49" t="s">
        <v>592</v>
      </c>
    </row>
    <row r="222">
      <c r="A222" s="2">
        <v>113.0</v>
      </c>
      <c r="B222" s="81" t="s">
        <v>267</v>
      </c>
      <c r="C222" s="81" t="s">
        <v>258</v>
      </c>
      <c r="D222" s="81" t="s">
        <v>394</v>
      </c>
      <c r="E222" s="2">
        <v>3150.0</v>
      </c>
      <c r="F222" s="2">
        <v>3635.0</v>
      </c>
      <c r="G222" s="2" t="s">
        <v>32</v>
      </c>
      <c r="H222" s="7" t="s">
        <v>232</v>
      </c>
      <c r="I222" s="49" t="s">
        <v>595</v>
      </c>
    </row>
    <row r="223">
      <c r="A223" s="2">
        <v>114.0</v>
      </c>
      <c r="B223" s="81" t="s">
        <v>267</v>
      </c>
      <c r="C223" s="81" t="s">
        <v>258</v>
      </c>
      <c r="D223" s="81" t="s">
        <v>394</v>
      </c>
      <c r="E223" s="2">
        <v>3226.0</v>
      </c>
      <c r="F223" s="2">
        <v>3228.0</v>
      </c>
      <c r="G223" s="2" t="s">
        <v>32</v>
      </c>
      <c r="H223" s="7" t="s">
        <v>232</v>
      </c>
      <c r="I223" s="49" t="s">
        <v>596</v>
      </c>
    </row>
    <row r="224">
      <c r="A224" s="2">
        <v>115.0</v>
      </c>
      <c r="B224" s="2" t="s">
        <v>267</v>
      </c>
      <c r="C224" s="2" t="s">
        <v>258</v>
      </c>
      <c r="D224" s="2" t="s">
        <v>296</v>
      </c>
      <c r="E224" s="2">
        <v>3266.0</v>
      </c>
      <c r="F224" s="2">
        <v>3225.0</v>
      </c>
      <c r="G224" s="2" t="s">
        <v>32</v>
      </c>
      <c r="H224" s="2" t="s">
        <v>260</v>
      </c>
      <c r="I224" s="49" t="s">
        <v>597</v>
      </c>
    </row>
    <row r="225">
      <c r="A225" s="2">
        <v>116.0</v>
      </c>
      <c r="B225" s="81" t="s">
        <v>267</v>
      </c>
      <c r="C225" s="81" t="s">
        <v>258</v>
      </c>
      <c r="D225" s="81" t="s">
        <v>394</v>
      </c>
      <c r="E225" s="2">
        <v>3388.0</v>
      </c>
      <c r="F225" s="2">
        <v>3399.0</v>
      </c>
      <c r="G225" s="2" t="s">
        <v>32</v>
      </c>
      <c r="H225" s="2" t="s">
        <v>260</v>
      </c>
      <c r="I225" s="49" t="s">
        <v>598</v>
      </c>
    </row>
    <row r="226">
      <c r="A226" s="2">
        <v>117.0</v>
      </c>
      <c r="B226" s="81" t="s">
        <v>267</v>
      </c>
      <c r="C226" s="81" t="s">
        <v>258</v>
      </c>
      <c r="D226" s="81" t="s">
        <v>394</v>
      </c>
      <c r="E226" s="2">
        <v>3422.0</v>
      </c>
      <c r="F226" s="2">
        <v>3423.0</v>
      </c>
      <c r="G226" s="2" t="s">
        <v>32</v>
      </c>
      <c r="H226" s="7" t="s">
        <v>232</v>
      </c>
      <c r="I226" s="49" t="s">
        <v>599</v>
      </c>
    </row>
    <row r="227">
      <c r="A227" s="2">
        <v>118.0</v>
      </c>
      <c r="B227" s="81" t="s">
        <v>267</v>
      </c>
      <c r="C227" s="81" t="s">
        <v>258</v>
      </c>
      <c r="D227" s="81" t="s">
        <v>394</v>
      </c>
      <c r="E227" s="2">
        <v>3425.0</v>
      </c>
      <c r="F227" s="2">
        <v>3472.0</v>
      </c>
      <c r="G227" s="2" t="s">
        <v>32</v>
      </c>
      <c r="H227" s="7" t="s">
        <v>232</v>
      </c>
      <c r="I227" s="49" t="s">
        <v>600</v>
      </c>
    </row>
    <row r="228">
      <c r="A228" s="2">
        <v>119.0</v>
      </c>
      <c r="B228" s="81" t="s">
        <v>267</v>
      </c>
      <c r="C228" s="81" t="s">
        <v>258</v>
      </c>
      <c r="D228" s="81" t="s">
        <v>394</v>
      </c>
      <c r="E228" s="2">
        <v>3493.0</v>
      </c>
      <c r="F228" s="2">
        <v>3680.0</v>
      </c>
      <c r="G228" s="2" t="s">
        <v>32</v>
      </c>
      <c r="H228" s="2" t="s">
        <v>250</v>
      </c>
      <c r="I228" s="49" t="s">
        <v>602</v>
      </c>
    </row>
    <row r="229">
      <c r="A229" s="2">
        <v>120.0</v>
      </c>
      <c r="B229" s="81" t="s">
        <v>267</v>
      </c>
      <c r="C229" s="81" t="s">
        <v>258</v>
      </c>
      <c r="D229" s="81" t="s">
        <v>394</v>
      </c>
      <c r="E229" s="2">
        <v>3494.0</v>
      </c>
      <c r="F229" s="2">
        <v>3495.0</v>
      </c>
      <c r="G229" s="2" t="s">
        <v>32</v>
      </c>
      <c r="H229" s="2" t="s">
        <v>260</v>
      </c>
      <c r="I229" s="49" t="s">
        <v>603</v>
      </c>
    </row>
    <row r="230">
      <c r="A230" s="2">
        <v>121.0</v>
      </c>
      <c r="B230" s="81" t="s">
        <v>267</v>
      </c>
      <c r="C230" s="81" t="s">
        <v>258</v>
      </c>
      <c r="D230" s="81" t="s">
        <v>394</v>
      </c>
      <c r="E230" s="2">
        <v>3548.0</v>
      </c>
      <c r="F230" s="2">
        <v>3575.0</v>
      </c>
      <c r="G230" s="2" t="s">
        <v>32</v>
      </c>
      <c r="H230" s="7" t="s">
        <v>306</v>
      </c>
      <c r="I230" s="49" t="s">
        <v>605</v>
      </c>
    </row>
    <row r="231">
      <c r="A231" s="2">
        <v>122.0</v>
      </c>
      <c r="B231" s="81" t="s">
        <v>267</v>
      </c>
      <c r="C231" s="81" t="s">
        <v>258</v>
      </c>
      <c r="D231" s="81" t="s">
        <v>394</v>
      </c>
      <c r="E231" s="2">
        <v>3564.0</v>
      </c>
      <c r="F231" s="2">
        <v>3583.0</v>
      </c>
      <c r="G231" s="2" t="s">
        <v>32</v>
      </c>
      <c r="H231" s="2" t="s">
        <v>260</v>
      </c>
      <c r="I231" s="49" t="s">
        <v>607</v>
      </c>
    </row>
    <row r="232">
      <c r="A232" s="2">
        <v>123.0</v>
      </c>
      <c r="B232" s="81" t="s">
        <v>267</v>
      </c>
      <c r="C232" s="81" t="s">
        <v>258</v>
      </c>
      <c r="D232" s="81" t="s">
        <v>394</v>
      </c>
      <c r="E232" s="2">
        <v>3623.0</v>
      </c>
      <c r="F232" s="2">
        <v>3627.0</v>
      </c>
      <c r="G232" s="2" t="s">
        <v>32</v>
      </c>
      <c r="H232" s="7" t="s">
        <v>255</v>
      </c>
      <c r="I232" s="49" t="s">
        <v>608</v>
      </c>
    </row>
    <row r="233">
      <c r="A233" s="2">
        <v>124.0</v>
      </c>
      <c r="B233" s="81" t="s">
        <v>267</v>
      </c>
      <c r="C233" s="81" t="s">
        <v>258</v>
      </c>
      <c r="D233" s="81" t="s">
        <v>394</v>
      </c>
      <c r="E233" s="2">
        <v>3654.0</v>
      </c>
      <c r="F233" s="2">
        <v>3691.0</v>
      </c>
      <c r="G233" s="2" t="s">
        <v>32</v>
      </c>
      <c r="H233" s="7" t="s">
        <v>232</v>
      </c>
      <c r="I233" s="49" t="s">
        <v>610</v>
      </c>
    </row>
    <row r="234">
      <c r="A234" s="2">
        <v>125.0</v>
      </c>
      <c r="B234" s="2" t="s">
        <v>267</v>
      </c>
      <c r="C234" s="2" t="s">
        <v>258</v>
      </c>
      <c r="D234" s="2" t="s">
        <v>296</v>
      </c>
      <c r="E234" s="2">
        <v>3938.0</v>
      </c>
      <c r="F234" s="2">
        <v>3980.0</v>
      </c>
      <c r="G234" s="2" t="s">
        <v>32</v>
      </c>
      <c r="H234" s="2" t="s">
        <v>250</v>
      </c>
      <c r="I234" s="49" t="s">
        <v>612</v>
      </c>
    </row>
    <row r="235">
      <c r="A235" s="2"/>
      <c r="B235" s="2"/>
      <c r="C235" s="2"/>
      <c r="D235" s="2"/>
      <c r="E235" s="2"/>
      <c r="F235" s="2"/>
      <c r="G235" s="2"/>
      <c r="H235" s="2"/>
      <c r="I235" s="49"/>
    </row>
    <row r="236">
      <c r="A236" s="2"/>
      <c r="B236" s="2"/>
      <c r="C236" s="2"/>
      <c r="D236" s="2"/>
      <c r="E236" s="2"/>
      <c r="F236" s="2"/>
      <c r="G236" s="2"/>
      <c r="H236" s="2"/>
      <c r="I236" s="49"/>
    </row>
    <row r="237">
      <c r="A237" s="5" t="s">
        <v>613</v>
      </c>
      <c r="B237" s="2"/>
      <c r="C237" s="2"/>
      <c r="D237" s="2"/>
      <c r="E237" s="2"/>
      <c r="F237" s="2"/>
      <c r="G237" s="2"/>
      <c r="H237" s="2"/>
      <c r="I237" s="49"/>
    </row>
    <row r="238">
      <c r="A238" s="2"/>
      <c r="B238" s="2"/>
      <c r="C238" s="2"/>
      <c r="D238" s="2"/>
      <c r="E238" s="2"/>
      <c r="F238" s="2"/>
      <c r="G238" s="2"/>
      <c r="H238" s="2"/>
      <c r="I238" s="49"/>
      <c r="K238" s="6" t="s">
        <v>223</v>
      </c>
      <c r="L238" s="15">
        <f>SUM(L240:L246)</f>
        <v>36</v>
      </c>
    </row>
    <row r="239">
      <c r="A239" s="5" t="s">
        <v>13</v>
      </c>
      <c r="B239" s="5" t="s">
        <v>213</v>
      </c>
      <c r="C239" s="5" t="s">
        <v>214</v>
      </c>
      <c r="D239" s="5" t="s">
        <v>215</v>
      </c>
      <c r="E239" s="5" t="s">
        <v>216</v>
      </c>
      <c r="F239" s="5" t="s">
        <v>217</v>
      </c>
      <c r="G239" s="5" t="s">
        <v>218</v>
      </c>
      <c r="H239" s="6" t="s">
        <v>220</v>
      </c>
      <c r="I239" s="5" t="s">
        <v>222</v>
      </c>
      <c r="L239" s="5" t="s">
        <v>24</v>
      </c>
    </row>
    <row r="240">
      <c r="A240" s="2">
        <v>1.0</v>
      </c>
      <c r="B240" s="34" t="s">
        <v>238</v>
      </c>
      <c r="C240" s="32" t="s">
        <v>258</v>
      </c>
      <c r="D240" s="32" t="s">
        <v>615</v>
      </c>
      <c r="E240" s="32">
        <v>149.0</v>
      </c>
      <c r="F240" s="32">
        <v>152.0</v>
      </c>
      <c r="G240" s="32" t="s">
        <v>32</v>
      </c>
      <c r="H240" s="32" t="s">
        <v>255</v>
      </c>
      <c r="I240" s="82" t="s">
        <v>616</v>
      </c>
      <c r="K240" s="6" t="s">
        <v>267</v>
      </c>
      <c r="L240" s="2">
        <f>COUNTIF(B240:B275,K240)</f>
        <v>4</v>
      </c>
    </row>
    <row r="241">
      <c r="A241" s="2">
        <v>2.0</v>
      </c>
      <c r="B241" s="7" t="s">
        <v>254</v>
      </c>
      <c r="C241" s="2" t="s">
        <v>230</v>
      </c>
      <c r="D241" s="2" t="s">
        <v>231</v>
      </c>
      <c r="E241" s="2">
        <v>169.0</v>
      </c>
      <c r="F241" s="2">
        <v>173.0</v>
      </c>
      <c r="G241" s="2" t="s">
        <v>32</v>
      </c>
      <c r="H241" s="2" t="s">
        <v>250</v>
      </c>
      <c r="I241" s="49" t="s">
        <v>274</v>
      </c>
      <c r="K241" s="6" t="s">
        <v>244</v>
      </c>
      <c r="L241" s="2">
        <f>COUNTIF(B240:B275,K241)</f>
        <v>9</v>
      </c>
    </row>
    <row r="242">
      <c r="A242" s="2">
        <v>3.0</v>
      </c>
      <c r="B242" s="7" t="s">
        <v>238</v>
      </c>
      <c r="C242" s="2" t="s">
        <v>258</v>
      </c>
      <c r="D242" s="2" t="s">
        <v>259</v>
      </c>
      <c r="E242" s="2">
        <v>194.0</v>
      </c>
      <c r="F242" s="2">
        <v>197.0</v>
      </c>
      <c r="G242" s="2" t="s">
        <v>32</v>
      </c>
      <c r="H242" s="2" t="s">
        <v>260</v>
      </c>
      <c r="I242" s="49" t="s">
        <v>284</v>
      </c>
      <c r="K242" s="6" t="s">
        <v>249</v>
      </c>
      <c r="L242" s="2">
        <f>COUNTIF(B240:B275,K242)</f>
        <v>0</v>
      </c>
    </row>
    <row r="243">
      <c r="A243" s="2">
        <v>4.0</v>
      </c>
      <c r="B243" s="7" t="s">
        <v>254</v>
      </c>
      <c r="C243" s="2" t="s">
        <v>258</v>
      </c>
      <c r="D243" s="2" t="s">
        <v>259</v>
      </c>
      <c r="E243" s="2">
        <v>441.0</v>
      </c>
      <c r="F243" s="2">
        <v>443.0</v>
      </c>
      <c r="G243" s="2" t="s">
        <v>32</v>
      </c>
      <c r="H243" s="2" t="s">
        <v>260</v>
      </c>
      <c r="I243" s="49" t="s">
        <v>309</v>
      </c>
      <c r="K243" s="6" t="s">
        <v>262</v>
      </c>
      <c r="L243" s="2">
        <f>COUNTIF(B240:B275,K243)</f>
        <v>5</v>
      </c>
    </row>
    <row r="244">
      <c r="A244" s="2">
        <v>5.0</v>
      </c>
      <c r="B244" s="7" t="s">
        <v>244</v>
      </c>
      <c r="C244" s="2" t="s">
        <v>258</v>
      </c>
      <c r="D244" s="2" t="s">
        <v>259</v>
      </c>
      <c r="E244" s="2">
        <v>959.0</v>
      </c>
      <c r="F244" s="2">
        <v>962.0</v>
      </c>
      <c r="G244" s="2" t="s">
        <v>32</v>
      </c>
      <c r="H244" s="2" t="s">
        <v>250</v>
      </c>
      <c r="I244" s="49" t="s">
        <v>318</v>
      </c>
      <c r="K244" s="6" t="s">
        <v>229</v>
      </c>
      <c r="L244" s="2">
        <f>COUNTIF(B240:B275,K244)</f>
        <v>1</v>
      </c>
    </row>
    <row r="245">
      <c r="A245" s="2">
        <v>6.0</v>
      </c>
      <c r="B245" s="7" t="s">
        <v>254</v>
      </c>
      <c r="C245" s="2" t="s">
        <v>258</v>
      </c>
      <c r="D245" s="2" t="s">
        <v>259</v>
      </c>
      <c r="E245" s="2">
        <v>1058.0</v>
      </c>
      <c r="F245" s="2">
        <v>1097.0</v>
      </c>
      <c r="G245" s="2" t="s">
        <v>32</v>
      </c>
      <c r="H245" s="2" t="s">
        <v>250</v>
      </c>
      <c r="I245" s="49" t="s">
        <v>321</v>
      </c>
      <c r="K245" s="6" t="s">
        <v>238</v>
      </c>
      <c r="L245" s="2">
        <f>COUNTIF(B240:B275,K245)</f>
        <v>6</v>
      </c>
    </row>
    <row r="246">
      <c r="A246" s="2">
        <v>7.0</v>
      </c>
      <c r="B246" s="7" t="s">
        <v>254</v>
      </c>
      <c r="C246" s="2" t="s">
        <v>258</v>
      </c>
      <c r="D246" s="2" t="s">
        <v>259</v>
      </c>
      <c r="E246" s="2">
        <v>1136.0</v>
      </c>
      <c r="F246" s="2">
        <v>1141.0</v>
      </c>
      <c r="G246" s="2" t="s">
        <v>32</v>
      </c>
      <c r="H246" s="2" t="s">
        <v>260</v>
      </c>
      <c r="I246" s="49" t="s">
        <v>325</v>
      </c>
      <c r="K246" s="6" t="s">
        <v>254</v>
      </c>
      <c r="L246" s="2">
        <f>COUNTIF(B240:B275, K246)</f>
        <v>11</v>
      </c>
    </row>
    <row r="247">
      <c r="A247" s="2">
        <v>8.0</v>
      </c>
      <c r="B247" s="7" t="s">
        <v>254</v>
      </c>
      <c r="C247" s="2" t="s">
        <v>230</v>
      </c>
      <c r="D247" s="2" t="s">
        <v>231</v>
      </c>
      <c r="E247" s="2">
        <v>1197.0</v>
      </c>
      <c r="F247" s="2">
        <v>1198.0</v>
      </c>
      <c r="G247" s="2" t="s">
        <v>32</v>
      </c>
      <c r="H247" s="2" t="s">
        <v>250</v>
      </c>
      <c r="I247" s="49" t="s">
        <v>327</v>
      </c>
      <c r="K247" s="5"/>
    </row>
    <row r="248">
      <c r="A248" s="2">
        <v>9.0</v>
      </c>
      <c r="B248" s="7" t="s">
        <v>262</v>
      </c>
      <c r="C248" s="2" t="s">
        <v>230</v>
      </c>
      <c r="D248" s="2" t="s">
        <v>292</v>
      </c>
      <c r="E248" s="2">
        <v>1222.0</v>
      </c>
      <c r="F248" s="2">
        <v>1239.0</v>
      </c>
      <c r="G248" s="2" t="s">
        <v>32</v>
      </c>
      <c r="H248" s="2" t="s">
        <v>250</v>
      </c>
      <c r="I248" s="49" t="s">
        <v>328</v>
      </c>
    </row>
    <row r="249">
      <c r="A249" s="2">
        <v>10.0</v>
      </c>
      <c r="B249" s="7" t="s">
        <v>254</v>
      </c>
      <c r="C249" s="2" t="s">
        <v>258</v>
      </c>
      <c r="D249" s="2" t="s">
        <v>259</v>
      </c>
      <c r="E249" s="2">
        <v>1277.0</v>
      </c>
      <c r="F249" s="2">
        <v>1290.0</v>
      </c>
      <c r="G249" s="2" t="s">
        <v>32</v>
      </c>
      <c r="H249" s="2" t="s">
        <v>250</v>
      </c>
      <c r="I249" s="49" t="s">
        <v>332</v>
      </c>
    </row>
    <row r="250">
      <c r="A250" s="2">
        <v>11.0</v>
      </c>
      <c r="B250" s="7" t="s">
        <v>229</v>
      </c>
      <c r="C250" s="2" t="s">
        <v>258</v>
      </c>
      <c r="D250" s="2" t="s">
        <v>259</v>
      </c>
      <c r="E250" s="2">
        <v>1280.0</v>
      </c>
      <c r="F250" s="2">
        <v>1279.0</v>
      </c>
      <c r="G250" s="2" t="s">
        <v>32</v>
      </c>
      <c r="H250" s="7" t="s">
        <v>232</v>
      </c>
      <c r="I250" s="49" t="s">
        <v>330</v>
      </c>
    </row>
    <row r="251">
      <c r="A251" s="2">
        <v>12.0</v>
      </c>
      <c r="B251" s="7" t="s">
        <v>254</v>
      </c>
      <c r="C251" s="2" t="s">
        <v>258</v>
      </c>
      <c r="D251" s="2" t="s">
        <v>259</v>
      </c>
      <c r="E251" s="2">
        <v>1351.0</v>
      </c>
      <c r="F251" s="2">
        <v>1356.0</v>
      </c>
      <c r="G251" s="2" t="s">
        <v>32</v>
      </c>
      <c r="H251" s="2" t="s">
        <v>250</v>
      </c>
      <c r="I251" s="49" t="s">
        <v>338</v>
      </c>
    </row>
    <row r="252">
      <c r="A252" s="2">
        <v>13.0</v>
      </c>
      <c r="B252" s="7" t="s">
        <v>262</v>
      </c>
      <c r="C252" s="2" t="s">
        <v>258</v>
      </c>
      <c r="D252" s="2" t="s">
        <v>296</v>
      </c>
      <c r="E252" s="2">
        <v>1703.0</v>
      </c>
      <c r="F252" s="2">
        <v>1818.0</v>
      </c>
      <c r="G252" s="2" t="s">
        <v>32</v>
      </c>
      <c r="H252" s="2" t="s">
        <v>260</v>
      </c>
      <c r="I252" s="49" t="s">
        <v>343</v>
      </c>
    </row>
    <row r="253">
      <c r="A253" s="2">
        <v>14.0</v>
      </c>
      <c r="B253" s="34" t="s">
        <v>267</v>
      </c>
      <c r="C253" s="32" t="s">
        <v>258</v>
      </c>
      <c r="D253" s="32" t="s">
        <v>296</v>
      </c>
      <c r="E253" s="32">
        <v>1869.0</v>
      </c>
      <c r="F253" s="32">
        <v>2063.0</v>
      </c>
      <c r="G253" s="32" t="s">
        <v>32</v>
      </c>
      <c r="H253" s="32" t="s">
        <v>250</v>
      </c>
      <c r="I253" s="82" t="s">
        <v>627</v>
      </c>
    </row>
    <row r="254">
      <c r="A254" s="2">
        <v>15.0</v>
      </c>
      <c r="B254" s="34" t="s">
        <v>267</v>
      </c>
      <c r="C254" s="32" t="s">
        <v>258</v>
      </c>
      <c r="D254" s="32" t="s">
        <v>296</v>
      </c>
      <c r="E254" s="32">
        <v>2191.0</v>
      </c>
      <c r="F254" s="32">
        <v>2192.0</v>
      </c>
      <c r="G254" s="32" t="s">
        <v>32</v>
      </c>
      <c r="H254" s="32" t="s">
        <v>260</v>
      </c>
      <c r="I254" s="82" t="s">
        <v>629</v>
      </c>
    </row>
    <row r="255">
      <c r="A255" s="2">
        <v>16.0</v>
      </c>
      <c r="B255" s="7" t="s">
        <v>267</v>
      </c>
      <c r="C255" s="2" t="s">
        <v>258</v>
      </c>
      <c r="D255" s="2" t="s">
        <v>296</v>
      </c>
      <c r="E255" s="2">
        <v>2175.0</v>
      </c>
      <c r="F255" s="2">
        <v>2231.0</v>
      </c>
      <c r="G255" s="2" t="s">
        <v>32</v>
      </c>
      <c r="H255" s="7" t="s">
        <v>232</v>
      </c>
      <c r="I255" s="49" t="s">
        <v>348</v>
      </c>
    </row>
    <row r="256">
      <c r="A256" s="2">
        <v>17.0</v>
      </c>
      <c r="B256" s="7" t="s">
        <v>267</v>
      </c>
      <c r="C256" s="2" t="s">
        <v>258</v>
      </c>
      <c r="D256" s="2" t="s">
        <v>296</v>
      </c>
      <c r="E256" s="2">
        <v>2551.0</v>
      </c>
      <c r="F256" s="2">
        <v>2552.0</v>
      </c>
      <c r="G256" s="2" t="s">
        <v>32</v>
      </c>
      <c r="H256" s="2" t="s">
        <v>250</v>
      </c>
      <c r="I256" s="49" t="s">
        <v>351</v>
      </c>
    </row>
    <row r="257">
      <c r="A257" s="2">
        <v>18.0</v>
      </c>
      <c r="B257" s="7" t="s">
        <v>244</v>
      </c>
      <c r="C257" s="2" t="s">
        <v>258</v>
      </c>
      <c r="D257" s="2" t="s">
        <v>296</v>
      </c>
      <c r="E257" s="2">
        <v>2561.0</v>
      </c>
      <c r="F257" s="2">
        <v>2562.0</v>
      </c>
      <c r="G257" s="2" t="s">
        <v>32</v>
      </c>
      <c r="H257" s="2" t="s">
        <v>250</v>
      </c>
      <c r="I257" s="49" t="s">
        <v>353</v>
      </c>
    </row>
    <row r="258">
      <c r="A258" s="2">
        <v>19.0</v>
      </c>
      <c r="B258" s="7" t="s">
        <v>244</v>
      </c>
      <c r="C258" s="2" t="s">
        <v>258</v>
      </c>
      <c r="D258" s="2" t="s">
        <v>296</v>
      </c>
      <c r="E258" s="2">
        <v>2434.0</v>
      </c>
      <c r="F258" s="2">
        <v>2570.0</v>
      </c>
      <c r="G258" s="2" t="s">
        <v>32</v>
      </c>
      <c r="H258" s="2" t="s">
        <v>250</v>
      </c>
      <c r="I258" s="49" t="s">
        <v>354</v>
      </c>
    </row>
    <row r="259">
      <c r="A259" s="2">
        <v>20.0</v>
      </c>
      <c r="B259" s="7" t="s">
        <v>244</v>
      </c>
      <c r="C259" s="2" t="s">
        <v>258</v>
      </c>
      <c r="D259" s="2" t="s">
        <v>296</v>
      </c>
      <c r="E259" s="2">
        <v>2587.0</v>
      </c>
      <c r="F259" s="2">
        <v>2588.0</v>
      </c>
      <c r="G259" s="2" t="s">
        <v>32</v>
      </c>
      <c r="H259" s="2" t="s">
        <v>260</v>
      </c>
      <c r="I259" s="49" t="s">
        <v>356</v>
      </c>
    </row>
    <row r="260">
      <c r="A260" s="2">
        <v>21.0</v>
      </c>
      <c r="B260" s="7" t="s">
        <v>262</v>
      </c>
      <c r="C260" s="2" t="s">
        <v>258</v>
      </c>
      <c r="D260" s="2" t="s">
        <v>296</v>
      </c>
      <c r="E260" s="2">
        <v>2899.0</v>
      </c>
      <c r="F260" s="2">
        <v>3057.0</v>
      </c>
      <c r="G260" s="2" t="s">
        <v>32</v>
      </c>
      <c r="H260" s="2" t="s">
        <v>260</v>
      </c>
      <c r="I260" s="49" t="s">
        <v>359</v>
      </c>
    </row>
    <row r="261">
      <c r="A261" s="2">
        <v>22.0</v>
      </c>
      <c r="B261" s="7" t="s">
        <v>262</v>
      </c>
      <c r="C261" s="2" t="s">
        <v>258</v>
      </c>
      <c r="D261" s="2" t="s">
        <v>296</v>
      </c>
      <c r="E261" s="2">
        <v>2968.0</v>
      </c>
      <c r="F261" s="2">
        <v>3072.0</v>
      </c>
      <c r="G261" s="2" t="s">
        <v>32</v>
      </c>
      <c r="H261" s="2" t="s">
        <v>250</v>
      </c>
      <c r="I261" s="49" t="s">
        <v>361</v>
      </c>
    </row>
    <row r="262">
      <c r="A262" s="2">
        <v>23.0</v>
      </c>
      <c r="B262" s="7" t="s">
        <v>244</v>
      </c>
      <c r="C262" s="2" t="s">
        <v>258</v>
      </c>
      <c r="D262" s="2" t="s">
        <v>296</v>
      </c>
      <c r="E262" s="2">
        <v>3152.0</v>
      </c>
      <c r="F262" s="2">
        <v>3187.0</v>
      </c>
      <c r="G262" s="2" t="s">
        <v>32</v>
      </c>
      <c r="H262" s="2" t="s">
        <v>260</v>
      </c>
      <c r="I262" s="49" t="s">
        <v>363</v>
      </c>
    </row>
    <row r="263">
      <c r="A263" s="2">
        <v>24.0</v>
      </c>
      <c r="B263" s="7" t="s">
        <v>244</v>
      </c>
      <c r="C263" s="2" t="s">
        <v>258</v>
      </c>
      <c r="D263" s="2" t="s">
        <v>296</v>
      </c>
      <c r="E263" s="2">
        <v>3391.0</v>
      </c>
      <c r="F263" s="2">
        <v>3390.0</v>
      </c>
      <c r="G263" s="2" t="s">
        <v>32</v>
      </c>
      <c r="H263" s="2" t="s">
        <v>260</v>
      </c>
      <c r="I263" s="49" t="s">
        <v>364</v>
      </c>
    </row>
    <row r="264">
      <c r="A264" s="2">
        <v>25.0</v>
      </c>
      <c r="B264" s="34" t="s">
        <v>244</v>
      </c>
      <c r="C264" s="32" t="s">
        <v>258</v>
      </c>
      <c r="D264" s="32" t="s">
        <v>296</v>
      </c>
      <c r="E264" s="32">
        <v>3463.0</v>
      </c>
      <c r="F264" s="32">
        <v>3465.0</v>
      </c>
      <c r="G264" s="32" t="s">
        <v>32</v>
      </c>
      <c r="H264" s="32" t="s">
        <v>250</v>
      </c>
      <c r="I264" s="82" t="s">
        <v>633</v>
      </c>
    </row>
    <row r="265">
      <c r="A265" s="2">
        <v>26.0</v>
      </c>
      <c r="B265" s="7" t="s">
        <v>254</v>
      </c>
      <c r="C265" s="2" t="s">
        <v>258</v>
      </c>
      <c r="D265" s="2" t="s">
        <v>296</v>
      </c>
      <c r="E265" s="2">
        <v>3828.0</v>
      </c>
      <c r="F265" s="2">
        <v>3839.0</v>
      </c>
      <c r="G265" s="2" t="s">
        <v>32</v>
      </c>
      <c r="H265" s="7" t="s">
        <v>232</v>
      </c>
      <c r="I265" s="49" t="s">
        <v>365</v>
      </c>
    </row>
    <row r="266">
      <c r="A266" s="2">
        <v>27.0</v>
      </c>
      <c r="B266" s="34" t="s">
        <v>244</v>
      </c>
      <c r="C266" s="32" t="s">
        <v>258</v>
      </c>
      <c r="D266" s="32" t="s">
        <v>635</v>
      </c>
      <c r="E266" s="32">
        <v>3836.0</v>
      </c>
      <c r="F266" s="32">
        <v>3862.0</v>
      </c>
      <c r="G266" s="32" t="s">
        <v>32</v>
      </c>
      <c r="H266" s="32" t="s">
        <v>260</v>
      </c>
      <c r="I266" s="82" t="s">
        <v>636</v>
      </c>
    </row>
    <row r="267">
      <c r="A267" s="2">
        <v>28.0</v>
      </c>
      <c r="B267" s="7" t="s">
        <v>238</v>
      </c>
      <c r="C267" s="2" t="s">
        <v>258</v>
      </c>
      <c r="D267" s="2" t="s">
        <v>296</v>
      </c>
      <c r="E267" s="2">
        <v>3899.0</v>
      </c>
      <c r="F267" s="2">
        <v>3904.0</v>
      </c>
      <c r="G267" s="2" t="s">
        <v>32</v>
      </c>
      <c r="H267" s="7" t="s">
        <v>232</v>
      </c>
      <c r="I267" s="49" t="s">
        <v>367</v>
      </c>
    </row>
    <row r="268">
      <c r="A268" s="2">
        <v>29.0</v>
      </c>
      <c r="B268" s="7" t="s">
        <v>254</v>
      </c>
      <c r="C268" s="2" t="s">
        <v>258</v>
      </c>
      <c r="D268" s="2" t="s">
        <v>296</v>
      </c>
      <c r="E268" s="2">
        <v>3988.0</v>
      </c>
      <c r="F268" s="2">
        <v>3994.0</v>
      </c>
      <c r="G268" s="2" t="s">
        <v>32</v>
      </c>
      <c r="H268" s="7" t="s">
        <v>232</v>
      </c>
      <c r="I268" s="49" t="s">
        <v>369</v>
      </c>
    </row>
    <row r="269">
      <c r="A269" s="2">
        <v>30.0</v>
      </c>
      <c r="B269" s="32" t="s">
        <v>254</v>
      </c>
      <c r="C269" s="32" t="s">
        <v>258</v>
      </c>
      <c r="D269" s="32" t="s">
        <v>296</v>
      </c>
      <c r="E269" s="32">
        <v>4072.0</v>
      </c>
      <c r="F269" s="32">
        <v>4073.0</v>
      </c>
      <c r="G269" s="32" t="s">
        <v>32</v>
      </c>
      <c r="H269" s="34" t="s">
        <v>232</v>
      </c>
      <c r="I269" s="82" t="s">
        <v>637</v>
      </c>
    </row>
    <row r="270">
      <c r="A270" s="2">
        <v>31.0</v>
      </c>
      <c r="B270" s="7" t="s">
        <v>238</v>
      </c>
      <c r="C270" s="2" t="s">
        <v>258</v>
      </c>
      <c r="D270" s="2" t="s">
        <v>302</v>
      </c>
      <c r="E270" s="2">
        <v>5700.0</v>
      </c>
      <c r="F270" s="2">
        <v>5707.0</v>
      </c>
      <c r="G270" s="2" t="s">
        <v>32</v>
      </c>
      <c r="H270" s="7" t="s">
        <v>232</v>
      </c>
      <c r="I270" s="49" t="s">
        <v>372</v>
      </c>
    </row>
    <row r="271">
      <c r="A271" s="2">
        <v>32.0</v>
      </c>
      <c r="B271" s="2" t="s">
        <v>262</v>
      </c>
      <c r="C271" s="2" t="s">
        <v>258</v>
      </c>
      <c r="D271" s="2" t="s">
        <v>302</v>
      </c>
      <c r="E271" s="2">
        <v>5787.0</v>
      </c>
      <c r="F271" s="2">
        <v>5798.0</v>
      </c>
      <c r="G271" s="2" t="s">
        <v>32</v>
      </c>
      <c r="H271" s="7" t="s">
        <v>232</v>
      </c>
      <c r="I271" s="49" t="s">
        <v>378</v>
      </c>
    </row>
    <row r="272">
      <c r="A272" s="2">
        <v>33.0</v>
      </c>
      <c r="B272" s="7" t="s">
        <v>238</v>
      </c>
      <c r="C272" s="2" t="s">
        <v>258</v>
      </c>
      <c r="D272" s="2" t="s">
        <v>302</v>
      </c>
      <c r="E272" s="2">
        <v>5784.0</v>
      </c>
      <c r="F272" s="2">
        <v>5801.0</v>
      </c>
      <c r="G272" s="2" t="s">
        <v>32</v>
      </c>
      <c r="H272" s="7" t="s">
        <v>232</v>
      </c>
      <c r="I272" s="49" t="s">
        <v>374</v>
      </c>
    </row>
    <row r="273">
      <c r="A273" s="2">
        <v>34.0</v>
      </c>
      <c r="B273" s="7" t="s">
        <v>244</v>
      </c>
      <c r="C273" s="2" t="s">
        <v>258</v>
      </c>
      <c r="D273" s="2" t="s">
        <v>302</v>
      </c>
      <c r="E273" s="2">
        <v>6050.0</v>
      </c>
      <c r="F273" s="2">
        <v>6161.0</v>
      </c>
      <c r="G273" s="2" t="s">
        <v>32</v>
      </c>
      <c r="H273" s="7" t="s">
        <v>232</v>
      </c>
      <c r="I273" s="49" t="s">
        <v>381</v>
      </c>
    </row>
    <row r="274">
      <c r="A274" s="2">
        <v>35.0</v>
      </c>
      <c r="B274" s="32" t="s">
        <v>254</v>
      </c>
      <c r="C274" s="32" t="s">
        <v>258</v>
      </c>
      <c r="D274" s="32" t="s">
        <v>302</v>
      </c>
      <c r="E274" s="32">
        <v>6465.0</v>
      </c>
      <c r="F274" s="32">
        <v>6509.0</v>
      </c>
      <c r="G274" s="32" t="s">
        <v>32</v>
      </c>
      <c r="H274" s="32" t="s">
        <v>250</v>
      </c>
      <c r="I274" s="82" t="s">
        <v>646</v>
      </c>
    </row>
    <row r="275">
      <c r="A275" s="2">
        <v>36.0</v>
      </c>
      <c r="B275" s="7" t="s">
        <v>238</v>
      </c>
      <c r="C275" s="2" t="s">
        <v>258</v>
      </c>
      <c r="D275" s="2" t="s">
        <v>302</v>
      </c>
      <c r="E275" s="2">
        <v>6585.0</v>
      </c>
      <c r="F275" s="2">
        <v>6586.0</v>
      </c>
      <c r="G275" s="2" t="s">
        <v>32</v>
      </c>
      <c r="H275" s="2" t="s">
        <v>260</v>
      </c>
      <c r="I275" s="49" t="s">
        <v>386</v>
      </c>
    </row>
    <row r="279">
      <c r="A279" s="5" t="s">
        <v>50</v>
      </c>
      <c r="B279" s="2"/>
      <c r="C279" s="2"/>
      <c r="D279" s="2"/>
      <c r="E279" s="2"/>
      <c r="F279" s="2"/>
      <c r="G279" s="2"/>
      <c r="H279" s="2"/>
      <c r="I279" s="49"/>
    </row>
    <row r="280">
      <c r="A280" s="2"/>
      <c r="B280" s="2"/>
      <c r="C280" s="2"/>
      <c r="D280" s="2"/>
      <c r="E280" s="2"/>
      <c r="F280" s="2"/>
      <c r="G280" s="2"/>
      <c r="H280" s="2"/>
      <c r="I280" s="49"/>
      <c r="K280" s="6" t="s">
        <v>223</v>
      </c>
      <c r="L280" s="15">
        <f>SUM(L282:L288)</f>
        <v>10</v>
      </c>
    </row>
    <row r="281">
      <c r="A281" s="5" t="s">
        <v>13</v>
      </c>
      <c r="B281" s="5" t="s">
        <v>213</v>
      </c>
      <c r="C281" s="5" t="s">
        <v>214</v>
      </c>
      <c r="D281" s="5" t="s">
        <v>215</v>
      </c>
      <c r="E281" s="5" t="s">
        <v>216</v>
      </c>
      <c r="F281" s="5" t="s">
        <v>217</v>
      </c>
      <c r="G281" s="5" t="s">
        <v>218</v>
      </c>
      <c r="H281" s="6" t="s">
        <v>220</v>
      </c>
      <c r="I281" s="5" t="s">
        <v>222</v>
      </c>
      <c r="L281" s="5" t="s">
        <v>24</v>
      </c>
    </row>
    <row r="282">
      <c r="B282" s="34" t="s">
        <v>267</v>
      </c>
      <c r="C282" s="32" t="s">
        <v>258</v>
      </c>
      <c r="D282" s="32" t="s">
        <v>615</v>
      </c>
      <c r="E282" s="32">
        <v>149.0</v>
      </c>
      <c r="F282" s="32">
        <v>152.0</v>
      </c>
      <c r="G282" s="32" t="s">
        <v>32</v>
      </c>
      <c r="H282" s="32" t="s">
        <v>255</v>
      </c>
      <c r="I282" s="82" t="s">
        <v>616</v>
      </c>
      <c r="K282" s="6" t="s">
        <v>267</v>
      </c>
      <c r="L282" s="2">
        <f>COUNTIF(B282:B291,K282)</f>
        <v>4</v>
      </c>
    </row>
    <row r="283">
      <c r="B283" s="7" t="s">
        <v>249</v>
      </c>
      <c r="C283" s="2" t="s">
        <v>230</v>
      </c>
      <c r="D283" s="2" t="s">
        <v>231</v>
      </c>
      <c r="E283" s="2">
        <v>169.0</v>
      </c>
      <c r="F283" s="2">
        <v>173.0</v>
      </c>
      <c r="G283" s="2" t="s">
        <v>32</v>
      </c>
      <c r="H283" s="2" t="s">
        <v>250</v>
      </c>
      <c r="I283" s="49" t="s">
        <v>274</v>
      </c>
      <c r="K283" s="6" t="s">
        <v>244</v>
      </c>
      <c r="L283" s="2">
        <f>COUNTIF(B282:B291,K283)</f>
        <v>0</v>
      </c>
    </row>
    <row r="284">
      <c r="B284" s="7" t="s">
        <v>267</v>
      </c>
      <c r="C284" s="2" t="s">
        <v>258</v>
      </c>
      <c r="D284" s="2" t="s">
        <v>259</v>
      </c>
      <c r="E284" s="2">
        <v>194.0</v>
      </c>
      <c r="F284" s="2">
        <v>197.0</v>
      </c>
      <c r="G284" s="2" t="s">
        <v>32</v>
      </c>
      <c r="H284" s="2" t="s">
        <v>260</v>
      </c>
      <c r="I284" s="49" t="s">
        <v>284</v>
      </c>
      <c r="K284" s="6" t="s">
        <v>249</v>
      </c>
      <c r="L284" s="2">
        <f>COUNTIF(B282:B291,K284)</f>
        <v>3</v>
      </c>
    </row>
    <row r="285">
      <c r="B285" s="7" t="s">
        <v>229</v>
      </c>
      <c r="C285" s="2" t="s">
        <v>258</v>
      </c>
      <c r="D285" s="2" t="s">
        <v>259</v>
      </c>
      <c r="E285" s="2">
        <v>959.0</v>
      </c>
      <c r="F285" s="2">
        <v>962.0</v>
      </c>
      <c r="G285" s="2" t="s">
        <v>32</v>
      </c>
      <c r="H285" s="2" t="s">
        <v>250</v>
      </c>
      <c r="I285" s="49" t="s">
        <v>318</v>
      </c>
      <c r="K285" s="6" t="s">
        <v>262</v>
      </c>
      <c r="L285" s="2">
        <f>COUNTIF(B282:B291,K285)</f>
        <v>0</v>
      </c>
    </row>
    <row r="286">
      <c r="B286" s="7" t="s">
        <v>229</v>
      </c>
      <c r="C286" s="2" t="s">
        <v>258</v>
      </c>
      <c r="D286" s="2" t="s">
        <v>294</v>
      </c>
      <c r="E286" s="2">
        <v>974.0</v>
      </c>
      <c r="F286" s="2">
        <v>994.0</v>
      </c>
      <c r="G286" s="2" t="s">
        <v>32</v>
      </c>
      <c r="H286" s="2" t="s">
        <v>260</v>
      </c>
      <c r="I286" s="49" t="s">
        <v>317</v>
      </c>
      <c r="K286" s="6" t="s">
        <v>229</v>
      </c>
      <c r="L286" s="2">
        <f>COUNTIF(B282:B291,K286)</f>
        <v>2</v>
      </c>
    </row>
    <row r="287">
      <c r="B287" s="7" t="s">
        <v>249</v>
      </c>
      <c r="C287" s="2" t="s">
        <v>230</v>
      </c>
      <c r="D287" s="2" t="s">
        <v>231</v>
      </c>
      <c r="E287" s="2">
        <v>1197.0</v>
      </c>
      <c r="F287" s="2">
        <v>1198.0</v>
      </c>
      <c r="G287" s="2" t="s">
        <v>32</v>
      </c>
      <c r="H287" s="2" t="s">
        <v>250</v>
      </c>
      <c r="I287" s="49" t="s">
        <v>327</v>
      </c>
      <c r="K287" s="6" t="s">
        <v>238</v>
      </c>
      <c r="L287" s="2">
        <f>COUNTIF(B282:B291,K287)</f>
        <v>1</v>
      </c>
    </row>
    <row r="288">
      <c r="B288" s="7" t="s">
        <v>238</v>
      </c>
      <c r="C288" s="2" t="s">
        <v>258</v>
      </c>
      <c r="D288" s="2" t="s">
        <v>259</v>
      </c>
      <c r="E288" s="2">
        <v>1277.0</v>
      </c>
      <c r="F288" s="2">
        <v>1290.0</v>
      </c>
      <c r="G288" s="2" t="s">
        <v>32</v>
      </c>
      <c r="H288" s="2" t="s">
        <v>250</v>
      </c>
      <c r="I288" s="49" t="s">
        <v>332</v>
      </c>
      <c r="K288" s="6" t="s">
        <v>254</v>
      </c>
      <c r="L288" s="2">
        <f>COUNTIF(B282:B291, K288)</f>
        <v>0</v>
      </c>
    </row>
    <row r="289">
      <c r="B289" s="7" t="s">
        <v>267</v>
      </c>
      <c r="C289" s="2" t="s">
        <v>258</v>
      </c>
      <c r="D289" s="2" t="s">
        <v>259</v>
      </c>
      <c r="E289" s="2">
        <v>1280.0</v>
      </c>
      <c r="F289" s="2">
        <v>1279.0</v>
      </c>
      <c r="G289" s="2" t="s">
        <v>32</v>
      </c>
      <c r="H289" s="7" t="s">
        <v>232</v>
      </c>
      <c r="I289" s="49" t="s">
        <v>330</v>
      </c>
    </row>
    <row r="290">
      <c r="B290" s="2" t="s">
        <v>267</v>
      </c>
      <c r="C290" s="2" t="s">
        <v>230</v>
      </c>
      <c r="D290" s="2" t="s">
        <v>660</v>
      </c>
      <c r="E290" s="2">
        <v>1887.0</v>
      </c>
      <c r="F290" s="2">
        <v>2616.0</v>
      </c>
      <c r="G290" s="2" t="s">
        <v>32</v>
      </c>
      <c r="H290" s="2" t="s">
        <v>250</v>
      </c>
      <c r="I290" s="49" t="s">
        <v>661</v>
      </c>
    </row>
    <row r="291">
      <c r="B291" s="7" t="s">
        <v>249</v>
      </c>
      <c r="C291" s="2" t="s">
        <v>258</v>
      </c>
      <c r="D291" s="2" t="s">
        <v>302</v>
      </c>
      <c r="E291" s="2">
        <v>6050.0</v>
      </c>
      <c r="F291" s="2">
        <v>6161.0</v>
      </c>
      <c r="G291" s="2" t="s">
        <v>32</v>
      </c>
      <c r="H291" s="7" t="s">
        <v>232</v>
      </c>
      <c r="I291" s="49" t="s">
        <v>381</v>
      </c>
    </row>
    <row r="295">
      <c r="E295" s="2"/>
      <c r="F295" s="2"/>
      <c r="G295" s="2"/>
    </row>
    <row r="296">
      <c r="A296" s="5" t="s">
        <v>662</v>
      </c>
      <c r="E296" s="2"/>
      <c r="F296" s="2"/>
      <c r="G296" s="2"/>
    </row>
    <row r="297">
      <c r="E297" s="2"/>
      <c r="F297" s="2"/>
      <c r="G297" s="2"/>
    </row>
    <row r="298">
      <c r="E298" s="2"/>
      <c r="F298" s="2"/>
      <c r="G298" s="2"/>
    </row>
    <row r="299">
      <c r="A299" s="6" t="s">
        <v>13</v>
      </c>
      <c r="B299" s="6" t="s">
        <v>665</v>
      </c>
      <c r="C299" s="6" t="s">
        <v>408</v>
      </c>
      <c r="D299" s="6" t="s">
        <v>666</v>
      </c>
      <c r="E299" s="6" t="s">
        <v>45</v>
      </c>
      <c r="F299" s="6" t="s">
        <v>50</v>
      </c>
      <c r="G299" s="6" t="s">
        <v>667</v>
      </c>
      <c r="H299" s="6" t="s">
        <v>668</v>
      </c>
    </row>
    <row r="300">
      <c r="A300" s="2">
        <v>1.0</v>
      </c>
      <c r="B300" s="7" t="s">
        <v>250</v>
      </c>
      <c r="C300" s="7" t="s">
        <v>411</v>
      </c>
      <c r="D300" s="15">
        <f>COUNTIF(H30:H104,B300)</f>
        <v>22</v>
      </c>
      <c r="E300" s="2">
        <f>COUNTIF(H240:H275,B300)</f>
        <v>14</v>
      </c>
      <c r="F300" s="2">
        <f>COUNTIF(H282:H291,B300)</f>
        <v>5</v>
      </c>
      <c r="G300" s="2">
        <f>COUNTIF(H110:H234,B300)</f>
        <v>41</v>
      </c>
      <c r="H300" s="15">
        <f t="shared" ref="H300:H305" si="29">D300+G300</f>
        <v>63</v>
      </c>
      <c r="I300" s="51">
        <f t="shared" ref="I300:I305" si="30">H300/200</f>
        <v>0.315</v>
      </c>
    </row>
    <row r="301">
      <c r="A301" s="2">
        <v>2.0</v>
      </c>
      <c r="B301" s="7" t="s">
        <v>260</v>
      </c>
      <c r="C301" s="7" t="s">
        <v>413</v>
      </c>
      <c r="D301" s="15">
        <f>COUNTIF(H30:H104,B301)</f>
        <v>27</v>
      </c>
      <c r="E301" s="2">
        <f>COUNTIF(H240:H275,B301)</f>
        <v>11</v>
      </c>
      <c r="F301" s="2">
        <f>COUNTIF(H282:H291,B301)</f>
        <v>2</v>
      </c>
      <c r="G301" s="2">
        <f>COUNTIF(H110:H234,B301)</f>
        <v>34</v>
      </c>
      <c r="H301" s="15">
        <f t="shared" si="29"/>
        <v>61</v>
      </c>
      <c r="I301" s="51">
        <f t="shared" si="30"/>
        <v>0.305</v>
      </c>
    </row>
    <row r="302">
      <c r="A302" s="2">
        <v>3.0</v>
      </c>
      <c r="B302" s="7" t="s">
        <v>232</v>
      </c>
      <c r="C302" s="7" t="s">
        <v>416</v>
      </c>
      <c r="D302" s="15">
        <f>COUNTIF(H30:H104,B302)</f>
        <v>17</v>
      </c>
      <c r="E302" s="2">
        <f>COUNTIF(H240:H275,B302)</f>
        <v>10</v>
      </c>
      <c r="F302" s="2">
        <f>COUNTIF(H282:H291,B302)</f>
        <v>2</v>
      </c>
      <c r="G302" s="2">
        <f>COUNTIF(H110:H234,B302)</f>
        <v>27</v>
      </c>
      <c r="H302" s="15">
        <f t="shared" si="29"/>
        <v>44</v>
      </c>
      <c r="I302" s="51">
        <f t="shared" si="30"/>
        <v>0.22</v>
      </c>
    </row>
    <row r="303">
      <c r="A303" s="2">
        <v>4.0</v>
      </c>
      <c r="B303" s="7" t="s">
        <v>255</v>
      </c>
      <c r="C303" s="7" t="s">
        <v>417</v>
      </c>
      <c r="D303" s="15">
        <f>COUNTIF(H30:H104,B303)</f>
        <v>8</v>
      </c>
      <c r="E303" s="2">
        <f>COUNTIF(H240:H275,B303)</f>
        <v>1</v>
      </c>
      <c r="F303" s="2">
        <f>COUNTIF(H282:H291,B303)</f>
        <v>1</v>
      </c>
      <c r="G303" s="2">
        <f>COUNTIF(H110:H234,B303)</f>
        <v>15</v>
      </c>
      <c r="H303" s="15">
        <f t="shared" si="29"/>
        <v>23</v>
      </c>
      <c r="I303" s="51">
        <f t="shared" si="30"/>
        <v>0.115</v>
      </c>
    </row>
    <row r="304">
      <c r="A304" s="2">
        <v>5.0</v>
      </c>
      <c r="B304" s="7" t="s">
        <v>306</v>
      </c>
      <c r="C304" s="7" t="s">
        <v>418</v>
      </c>
      <c r="D304" s="15">
        <f>COUNTIF(H30:H104,B304)</f>
        <v>1</v>
      </c>
      <c r="E304" s="2">
        <f>COUNTIF(H240:H275,B304)</f>
        <v>0</v>
      </c>
      <c r="F304" s="2">
        <f>COUNTIF(H282:H291,B304)</f>
        <v>0</v>
      </c>
      <c r="G304" s="2">
        <f>COUNTIF(H110:H234,B304)</f>
        <v>8</v>
      </c>
      <c r="H304" s="15">
        <f t="shared" si="29"/>
        <v>9</v>
      </c>
      <c r="I304" s="51">
        <f t="shared" si="30"/>
        <v>0.045</v>
      </c>
    </row>
    <row r="305">
      <c r="D305" s="15">
        <f t="shared" ref="D305:G305" si="31">SUM(D300:D304)</f>
        <v>75</v>
      </c>
      <c r="E305" s="15">
        <f t="shared" si="31"/>
        <v>36</v>
      </c>
      <c r="F305" s="15">
        <f t="shared" si="31"/>
        <v>10</v>
      </c>
      <c r="G305" s="15">
        <f t="shared" si="31"/>
        <v>125</v>
      </c>
      <c r="H305" s="15">
        <f t="shared" si="29"/>
        <v>200</v>
      </c>
      <c r="I305" s="15">
        <f t="shared" si="30"/>
        <v>1</v>
      </c>
    </row>
    <row r="306">
      <c r="E306" s="2"/>
      <c r="F306" s="2"/>
      <c r="G306" s="2"/>
    </row>
    <row r="307">
      <c r="E307" s="2"/>
      <c r="F307" s="2"/>
      <c r="G307" s="2"/>
    </row>
    <row r="308">
      <c r="A308" s="5" t="s">
        <v>680</v>
      </c>
      <c r="E308" s="2"/>
      <c r="F308" s="2"/>
      <c r="G308" s="2"/>
    </row>
    <row r="309">
      <c r="A309" s="5" t="s">
        <v>9</v>
      </c>
      <c r="E309" s="2"/>
      <c r="F309" s="2"/>
      <c r="G309" s="2"/>
    </row>
    <row r="310">
      <c r="A310" s="6" t="s">
        <v>12</v>
      </c>
      <c r="B310" s="6" t="s">
        <v>449</v>
      </c>
      <c r="C310" s="6" t="s">
        <v>475</v>
      </c>
      <c r="D310" s="6" t="s">
        <v>453</v>
      </c>
      <c r="E310" s="6" t="s">
        <v>455</v>
      </c>
      <c r="F310" s="6" t="s">
        <v>476</v>
      </c>
      <c r="G310" s="6" t="s">
        <v>26</v>
      </c>
    </row>
    <row r="311">
      <c r="A311" s="2">
        <v>1.0</v>
      </c>
      <c r="B311" s="2" t="s">
        <v>458</v>
      </c>
      <c r="C311" s="51">
        <f>39/200</f>
        <v>0.195</v>
      </c>
      <c r="D311" s="51">
        <f>18/200</f>
        <v>0.09</v>
      </c>
      <c r="E311" s="73">
        <v>0.7512</v>
      </c>
      <c r="F311" s="73">
        <v>0.6866</v>
      </c>
      <c r="G311" s="2">
        <v>0.3846</v>
      </c>
      <c r="M311" s="2" t="s">
        <v>681</v>
      </c>
    </row>
    <row r="312">
      <c r="A312" s="2">
        <v>2.0</v>
      </c>
      <c r="B312" s="2" t="s">
        <v>460</v>
      </c>
      <c r="C312" s="73">
        <f>35/200</f>
        <v>0.175</v>
      </c>
      <c r="D312" s="51">
        <f>17/200</f>
        <v>0.085</v>
      </c>
      <c r="E312" s="73">
        <v>0.81</v>
      </c>
      <c r="F312" s="73">
        <v>0.66</v>
      </c>
      <c r="G312" s="2">
        <v>0.0337</v>
      </c>
      <c r="I312" s="2" t="s">
        <v>683</v>
      </c>
      <c r="M312" s="8" t="s">
        <v>684</v>
      </c>
    </row>
    <row r="313">
      <c r="A313" s="2">
        <v>3.0</v>
      </c>
      <c r="B313" s="2" t="s">
        <v>463</v>
      </c>
      <c r="C313" s="73">
        <f>12/200</f>
        <v>0.06</v>
      </c>
      <c r="D313" s="51">
        <f>7/200</f>
        <v>0.035</v>
      </c>
      <c r="E313" s="73">
        <v>0.3719</v>
      </c>
      <c r="F313" s="73">
        <v>0.3166</v>
      </c>
      <c r="G313" s="2">
        <v>0.0394</v>
      </c>
      <c r="M313" s="2" t="s">
        <v>686</v>
      </c>
    </row>
    <row r="314">
      <c r="A314" s="2"/>
      <c r="C314" s="2"/>
      <c r="E314" s="2"/>
      <c r="F314" s="2"/>
      <c r="G314" s="2"/>
    </row>
    <row r="315">
      <c r="A315" s="2" t="s">
        <v>687</v>
      </c>
      <c r="B315" s="2" t="s">
        <v>458</v>
      </c>
      <c r="C315" s="73">
        <v>0.3544</v>
      </c>
      <c r="D315" s="73">
        <v>0.0127</v>
      </c>
      <c r="E315" s="73">
        <v>0.7932</v>
      </c>
      <c r="F315" s="73">
        <v>0.346</v>
      </c>
      <c r="G315" s="2"/>
    </row>
    <row r="316">
      <c r="A316" s="2" t="s">
        <v>688</v>
      </c>
      <c r="B316" s="2" t="s">
        <v>458</v>
      </c>
      <c r="C316" s="73">
        <v>0.4177</v>
      </c>
      <c r="D316" s="73">
        <v>0.0759</v>
      </c>
      <c r="E316" s="73">
        <v>0.9231</v>
      </c>
      <c r="F316" s="73">
        <v>0.6641</v>
      </c>
      <c r="G316" s="2"/>
    </row>
    <row r="317">
      <c r="A317" s="2"/>
      <c r="C317" s="2"/>
      <c r="E317" s="2"/>
      <c r="F317" s="2"/>
      <c r="G317" s="2"/>
    </row>
    <row r="318">
      <c r="A318" s="6" t="s">
        <v>13</v>
      </c>
      <c r="B318" s="6" t="s">
        <v>400</v>
      </c>
      <c r="C318" s="6" t="s">
        <v>489</v>
      </c>
      <c r="D318" s="6" t="s">
        <v>490</v>
      </c>
      <c r="E318" s="6" t="s">
        <v>491</v>
      </c>
      <c r="F318" s="6" t="s">
        <v>492</v>
      </c>
      <c r="G318" s="6" t="s">
        <v>493</v>
      </c>
      <c r="H318" s="6" t="s">
        <v>495</v>
      </c>
    </row>
    <row r="319">
      <c r="A319" s="2">
        <v>1.0</v>
      </c>
      <c r="B319" s="7" t="s">
        <v>250</v>
      </c>
      <c r="C319" s="7">
        <v>12.0</v>
      </c>
      <c r="D319" s="2">
        <v>6.0</v>
      </c>
      <c r="E319" s="2">
        <v>14.0</v>
      </c>
      <c r="F319" s="2">
        <v>6.0</v>
      </c>
      <c r="G319" s="2">
        <v>4.0</v>
      </c>
      <c r="H319" s="2">
        <v>2.0</v>
      </c>
    </row>
    <row r="320">
      <c r="A320" s="2">
        <v>2.0</v>
      </c>
      <c r="B320" s="7" t="s">
        <v>260</v>
      </c>
      <c r="C320" s="7">
        <v>9.0</v>
      </c>
      <c r="D320" s="2">
        <v>3.0</v>
      </c>
      <c r="E320" s="2">
        <v>8.0</v>
      </c>
      <c r="F320" s="2">
        <v>5.0</v>
      </c>
      <c r="G320" s="2">
        <v>2.0</v>
      </c>
      <c r="H320" s="2">
        <v>1.0</v>
      </c>
    </row>
    <row r="321">
      <c r="A321" s="2">
        <v>3.0</v>
      </c>
      <c r="B321" s="7" t="s">
        <v>232</v>
      </c>
      <c r="C321" s="7">
        <v>11.0</v>
      </c>
      <c r="D321" s="2">
        <v>5.0</v>
      </c>
      <c r="E321" s="2">
        <v>6.0</v>
      </c>
      <c r="F321" s="2">
        <v>3.0</v>
      </c>
      <c r="G321" s="2">
        <v>3.0</v>
      </c>
      <c r="H321" s="2">
        <v>2.0</v>
      </c>
    </row>
    <row r="322">
      <c r="A322" s="2">
        <v>4.0</v>
      </c>
      <c r="B322" s="7" t="s">
        <v>255</v>
      </c>
      <c r="C322" s="7">
        <v>7.0</v>
      </c>
      <c r="D322" s="2">
        <v>4.0</v>
      </c>
      <c r="E322" s="2">
        <v>7.0</v>
      </c>
      <c r="F322" s="2">
        <v>3.0</v>
      </c>
      <c r="G322" s="2">
        <v>3.0</v>
      </c>
      <c r="H322" s="2">
        <v>2.0</v>
      </c>
    </row>
    <row r="323">
      <c r="A323" s="2">
        <v>5.0</v>
      </c>
      <c r="B323" s="7" t="s">
        <v>306</v>
      </c>
      <c r="C323" s="7">
        <v>0.0</v>
      </c>
      <c r="E323" s="2">
        <v>0.0</v>
      </c>
      <c r="F323" s="2">
        <v>0.0</v>
      </c>
      <c r="G323" s="2">
        <v>0.0</v>
      </c>
      <c r="H323" s="2">
        <v>0.0</v>
      </c>
    </row>
    <row r="324">
      <c r="B324" s="57" t="s">
        <v>252</v>
      </c>
      <c r="C324" s="5">
        <f t="shared" ref="C324:H324" si="32">SUM(C319:C323)</f>
        <v>39</v>
      </c>
      <c r="D324" s="5">
        <f t="shared" si="32"/>
        <v>18</v>
      </c>
      <c r="E324" s="5">
        <f t="shared" si="32"/>
        <v>35</v>
      </c>
      <c r="F324" s="5">
        <f t="shared" si="32"/>
        <v>17</v>
      </c>
      <c r="G324" s="5">
        <f t="shared" si="32"/>
        <v>12</v>
      </c>
      <c r="H324" s="5">
        <f t="shared" si="32"/>
        <v>7</v>
      </c>
    </row>
    <row r="325">
      <c r="C325" s="2"/>
      <c r="E325" s="2"/>
      <c r="F325" s="2"/>
      <c r="G325" s="2"/>
    </row>
    <row r="326">
      <c r="C326" s="2"/>
      <c r="E326" s="2"/>
      <c r="F326" s="2"/>
      <c r="G326" s="2"/>
    </row>
    <row r="327">
      <c r="A327" s="5" t="s">
        <v>691</v>
      </c>
      <c r="C327" s="2"/>
      <c r="E327" s="2"/>
      <c r="F327" s="2"/>
      <c r="G327" s="2"/>
    </row>
    <row r="328">
      <c r="C328" s="2"/>
      <c r="E328" s="2"/>
      <c r="F328" s="2"/>
      <c r="G328" s="2"/>
    </row>
    <row r="329">
      <c r="A329" s="7" t="s">
        <v>692</v>
      </c>
      <c r="B329" s="2">
        <v>4.0</v>
      </c>
      <c r="C329" s="2"/>
      <c r="E329" s="2"/>
      <c r="F329" s="2"/>
      <c r="G329" s="2"/>
    </row>
    <row r="330">
      <c r="A330" s="7" t="s">
        <v>640</v>
      </c>
      <c r="B330" s="2">
        <v>0.0</v>
      </c>
      <c r="C330" s="2"/>
      <c r="E330" s="2"/>
      <c r="F330" s="2"/>
      <c r="G330" s="2"/>
    </row>
    <row r="331">
      <c r="A331" s="7" t="s">
        <v>693</v>
      </c>
      <c r="B331" s="2">
        <v>7.0</v>
      </c>
      <c r="E331" s="2"/>
      <c r="F331" s="2"/>
      <c r="G331" s="2"/>
    </row>
    <row r="332">
      <c r="A332" s="7" t="s">
        <v>694</v>
      </c>
      <c r="B332" s="2">
        <v>3.0</v>
      </c>
      <c r="E332" s="2"/>
      <c r="F332" s="2"/>
      <c r="G332" s="2"/>
    </row>
    <row r="333">
      <c r="A333" s="7" t="s">
        <v>696</v>
      </c>
      <c r="B333" s="2">
        <v>7.0</v>
      </c>
      <c r="E333" s="2"/>
      <c r="F333" s="2"/>
      <c r="G333" s="2"/>
    </row>
    <row r="334">
      <c r="A334" s="7" t="s">
        <v>697</v>
      </c>
      <c r="B334" s="2">
        <v>0.0</v>
      </c>
      <c r="E334" s="2"/>
      <c r="F334" s="2"/>
      <c r="G334" s="2"/>
    </row>
    <row r="335">
      <c r="A335" s="7" t="s">
        <v>698</v>
      </c>
      <c r="B335" s="2">
        <v>3.0</v>
      </c>
      <c r="E335" s="2"/>
      <c r="F335" s="2"/>
      <c r="G335" s="2"/>
    </row>
    <row r="336">
      <c r="E336" s="2"/>
      <c r="F336" s="2"/>
      <c r="G336" s="2"/>
    </row>
    <row r="337">
      <c r="E337" s="2"/>
      <c r="F337" s="2"/>
      <c r="G337" s="2"/>
    </row>
    <row r="338">
      <c r="A338" s="5"/>
    </row>
    <row r="339">
      <c r="A339" s="6"/>
      <c r="B339" s="6"/>
      <c r="C339" s="6"/>
      <c r="D339" s="6"/>
      <c r="E339" s="6"/>
      <c r="F339" s="6"/>
      <c r="G339" s="6"/>
    </row>
    <row r="345">
      <c r="A345" s="6"/>
      <c r="B345" s="6"/>
      <c r="C345" s="6"/>
      <c r="D345" s="6"/>
      <c r="E345" s="6"/>
      <c r="F345" s="6"/>
      <c r="G345" s="6"/>
      <c r="H345" s="6"/>
    </row>
    <row r="346">
      <c r="B346" s="7"/>
      <c r="C346" s="7"/>
    </row>
    <row r="347">
      <c r="B347" s="7"/>
      <c r="C347" s="7"/>
    </row>
    <row r="348">
      <c r="B348" s="7"/>
      <c r="C348" s="7"/>
    </row>
    <row r="349">
      <c r="B349" s="7"/>
      <c r="C349" s="7"/>
    </row>
    <row r="350">
      <c r="B350" s="7"/>
      <c r="C350" s="7"/>
    </row>
    <row r="351">
      <c r="B351" s="57"/>
      <c r="C351" s="5"/>
      <c r="D351" s="5"/>
      <c r="E351" s="5"/>
      <c r="F351" s="5"/>
      <c r="G351" s="5"/>
      <c r="H351" s="5"/>
    </row>
    <row r="354">
      <c r="A354" s="5"/>
    </row>
    <row r="356">
      <c r="A356" s="7"/>
    </row>
    <row r="357">
      <c r="A357" s="7"/>
    </row>
    <row r="358">
      <c r="A358" s="7"/>
    </row>
    <row r="359">
      <c r="A359" s="7"/>
    </row>
    <row r="360">
      <c r="A360" s="7"/>
    </row>
    <row r="361">
      <c r="A361" s="7"/>
    </row>
    <row r="362">
      <c r="A362" s="7"/>
    </row>
    <row r="363">
      <c r="E363" s="2"/>
      <c r="F363" s="2"/>
      <c r="G363" s="2"/>
    </row>
    <row r="364">
      <c r="E364" s="2"/>
      <c r="F364" s="2"/>
      <c r="G364" s="2"/>
    </row>
    <row r="365">
      <c r="E365" s="2"/>
      <c r="F365" s="2"/>
      <c r="G365" s="2"/>
    </row>
    <row r="366">
      <c r="E366" s="2"/>
      <c r="F366" s="2"/>
      <c r="G366" s="2"/>
    </row>
    <row r="367">
      <c r="E367" s="2"/>
      <c r="F367" s="2"/>
      <c r="G367" s="2"/>
    </row>
    <row r="368">
      <c r="E368" s="2"/>
      <c r="F368" s="2"/>
      <c r="G368" s="2"/>
    </row>
    <row r="369">
      <c r="E369" s="2"/>
      <c r="F369" s="2"/>
      <c r="G369" s="2"/>
    </row>
    <row r="370">
      <c r="E370" s="2"/>
      <c r="F370" s="2"/>
      <c r="G370" s="2"/>
    </row>
    <row r="371">
      <c r="E371" s="2"/>
      <c r="F371" s="2"/>
      <c r="G371" s="2"/>
    </row>
    <row r="372">
      <c r="E372" s="2"/>
      <c r="F372" s="2"/>
      <c r="G372" s="2"/>
    </row>
    <row r="373">
      <c r="E373" s="2"/>
      <c r="F373" s="2"/>
      <c r="G373" s="2"/>
    </row>
    <row r="374">
      <c r="E374" s="2"/>
      <c r="F374" s="2"/>
      <c r="G374" s="2"/>
    </row>
    <row r="375">
      <c r="E375" s="2"/>
      <c r="F375" s="2"/>
      <c r="G375" s="2"/>
    </row>
    <row r="376">
      <c r="E376" s="2"/>
      <c r="F376" s="2"/>
      <c r="G376" s="2"/>
    </row>
    <row r="377">
      <c r="E377" s="2"/>
      <c r="F377" s="2"/>
      <c r="G377" s="2"/>
    </row>
    <row r="378">
      <c r="E378" s="2"/>
      <c r="F378" s="2"/>
      <c r="G378" s="2"/>
    </row>
    <row r="379">
      <c r="E379" s="2"/>
      <c r="F379" s="2"/>
      <c r="G379" s="2"/>
    </row>
    <row r="380">
      <c r="F380" s="2"/>
      <c r="G380" s="2"/>
    </row>
    <row r="381">
      <c r="F381" s="2"/>
      <c r="G381" s="2"/>
    </row>
    <row r="382">
      <c r="F382" s="2"/>
      <c r="G382" s="2"/>
    </row>
    <row r="383">
      <c r="E383" s="2"/>
      <c r="F383" s="2"/>
      <c r="G383" s="2"/>
    </row>
    <row r="384">
      <c r="E384" s="2"/>
      <c r="F384" s="2"/>
      <c r="G384" s="2"/>
    </row>
    <row r="385">
      <c r="E385" s="2"/>
      <c r="F385" s="2"/>
      <c r="G385" s="2"/>
    </row>
    <row r="386">
      <c r="E386" s="2"/>
      <c r="F386" s="2"/>
      <c r="G386" s="2"/>
    </row>
    <row r="387">
      <c r="A387" s="2" t="s">
        <v>702</v>
      </c>
      <c r="C387" s="2">
        <v>10.0</v>
      </c>
      <c r="E387" s="2"/>
      <c r="F387" s="2"/>
      <c r="G387" s="2"/>
    </row>
    <row r="388">
      <c r="A388" s="2" t="s">
        <v>112</v>
      </c>
      <c r="E388" s="2"/>
      <c r="F388" s="2"/>
      <c r="G388" s="2"/>
    </row>
    <row r="389">
      <c r="A389" s="2" t="s">
        <v>123</v>
      </c>
      <c r="E389" s="2"/>
      <c r="F389" s="2"/>
      <c r="G389" s="2"/>
    </row>
    <row r="390">
      <c r="A390" s="2" t="s">
        <v>128</v>
      </c>
      <c r="E390" s="2"/>
      <c r="F390" s="2"/>
      <c r="G390" s="2"/>
    </row>
    <row r="391">
      <c r="A391" s="2" t="s">
        <v>134</v>
      </c>
      <c r="E391" s="2"/>
      <c r="F391" s="2"/>
      <c r="G391" s="2"/>
    </row>
    <row r="392">
      <c r="A392" s="2" t="s">
        <v>174</v>
      </c>
      <c r="E392" s="2"/>
      <c r="F392" s="2"/>
      <c r="G392" s="2"/>
    </row>
    <row r="393">
      <c r="A393" s="2" t="s">
        <v>199</v>
      </c>
      <c r="E393" s="2"/>
      <c r="F393" s="2"/>
      <c r="G393" s="2"/>
    </row>
    <row r="394">
      <c r="A394" s="2" t="s">
        <v>209</v>
      </c>
      <c r="E394" s="2"/>
      <c r="F394" s="2"/>
      <c r="G394" s="2"/>
    </row>
    <row r="395">
      <c r="A395" s="2" t="s">
        <v>144</v>
      </c>
      <c r="E395" s="2"/>
      <c r="F395" s="2"/>
      <c r="G395" s="2"/>
    </row>
    <row r="396">
      <c r="A396" s="2" t="s">
        <v>167</v>
      </c>
      <c r="E396" s="2"/>
      <c r="F396" s="2"/>
      <c r="G396" s="2"/>
    </row>
    <row r="397">
      <c r="A397" s="2" t="s">
        <v>225</v>
      </c>
      <c r="E397" s="2"/>
      <c r="F397" s="2"/>
      <c r="G397" s="2"/>
    </row>
    <row r="398">
      <c r="E398" s="2"/>
      <c r="F398" s="2"/>
      <c r="G398" s="2"/>
    </row>
    <row r="399">
      <c r="E399" s="2"/>
      <c r="F399" s="2"/>
      <c r="G399" s="2"/>
    </row>
    <row r="400">
      <c r="E400" s="2"/>
      <c r="F400" s="2"/>
      <c r="G400" s="2"/>
    </row>
    <row r="401">
      <c r="E401" s="2"/>
      <c r="F401" s="2"/>
      <c r="G401" s="2"/>
    </row>
    <row r="402">
      <c r="E402" s="2"/>
      <c r="F402" s="2"/>
      <c r="G402" s="2"/>
    </row>
    <row r="403">
      <c r="E403" s="2"/>
      <c r="F403" s="2"/>
      <c r="G403" s="2"/>
    </row>
    <row r="404">
      <c r="E404" s="2"/>
      <c r="F404" s="2"/>
      <c r="G404" s="2"/>
    </row>
    <row r="405">
      <c r="E405" s="2"/>
      <c r="F405" s="2"/>
      <c r="G405" s="2"/>
    </row>
    <row r="406">
      <c r="E406" s="2"/>
      <c r="F406" s="2"/>
      <c r="G406" s="2"/>
    </row>
    <row r="407">
      <c r="E407" s="2"/>
      <c r="F407" s="2"/>
      <c r="G407" s="2"/>
    </row>
    <row r="408">
      <c r="E408" s="2"/>
      <c r="F408" s="2"/>
      <c r="G408" s="2"/>
    </row>
    <row r="409">
      <c r="E409" s="2"/>
      <c r="F409" s="2"/>
      <c r="G409" s="2"/>
    </row>
    <row r="410">
      <c r="E410" s="2"/>
      <c r="F410" s="2"/>
      <c r="G410" s="2"/>
    </row>
    <row r="411">
      <c r="E411" s="2"/>
      <c r="F411" s="2"/>
      <c r="G411" s="2"/>
    </row>
    <row r="412">
      <c r="E412" s="2"/>
      <c r="F412" s="2"/>
      <c r="G412" s="2"/>
    </row>
    <row r="413">
      <c r="E413" s="2"/>
      <c r="F413" s="2"/>
      <c r="G413" s="2"/>
    </row>
    <row r="414">
      <c r="E414" s="2"/>
      <c r="F414" s="2"/>
      <c r="G414" s="2"/>
    </row>
    <row r="415">
      <c r="E415" s="2"/>
      <c r="F415" s="2"/>
      <c r="G415" s="2"/>
    </row>
    <row r="416">
      <c r="E416" s="2"/>
      <c r="F416" s="2"/>
      <c r="G416" s="2"/>
    </row>
    <row r="417">
      <c r="E417" s="2"/>
      <c r="F417" s="2"/>
      <c r="G417" s="2"/>
    </row>
    <row r="418">
      <c r="E418" s="2"/>
      <c r="F418" s="2"/>
      <c r="G418" s="2"/>
    </row>
    <row r="419">
      <c r="E419" s="2"/>
      <c r="F419" s="2"/>
      <c r="G419" s="2"/>
    </row>
    <row r="420">
      <c r="E420" s="2"/>
      <c r="F420" s="2"/>
      <c r="G420" s="2"/>
    </row>
    <row r="422">
      <c r="A422" s="2" t="s">
        <v>705</v>
      </c>
    </row>
    <row r="424">
      <c r="A424" s="2" t="s">
        <v>387</v>
      </c>
      <c r="B424" s="2" t="s">
        <v>25</v>
      </c>
      <c r="C424" s="2" t="s">
        <v>45</v>
      </c>
      <c r="D424" s="2" t="s">
        <v>50</v>
      </c>
    </row>
    <row r="425">
      <c r="A425" s="2" t="s">
        <v>36</v>
      </c>
      <c r="B425" s="2" t="s">
        <v>706</v>
      </c>
      <c r="C425" s="2" t="s">
        <v>48</v>
      </c>
      <c r="D425" s="2" t="s">
        <v>52</v>
      </c>
    </row>
    <row r="426">
      <c r="A426" s="2" t="s">
        <v>707</v>
      </c>
      <c r="B426" s="2" t="s">
        <v>708</v>
      </c>
      <c r="C426" s="2" t="s">
        <v>63</v>
      </c>
      <c r="D426" s="2" t="s">
        <v>67</v>
      </c>
    </row>
    <row r="427">
      <c r="A427" s="2" t="s">
        <v>109</v>
      </c>
      <c r="B427" s="2" t="s">
        <v>709</v>
      </c>
      <c r="C427" s="2" t="s">
        <v>82</v>
      </c>
      <c r="D427" s="2" t="s">
        <v>87</v>
      </c>
    </row>
    <row r="431">
      <c r="A431" s="2" t="s">
        <v>50</v>
      </c>
    </row>
    <row r="432">
      <c r="A432" s="2" t="s">
        <v>710</v>
      </c>
    </row>
    <row r="433">
      <c r="A433" s="2" t="s">
        <v>711</v>
      </c>
    </row>
    <row r="436">
      <c r="A436" s="2" t="s">
        <v>712</v>
      </c>
      <c r="B436" s="2" t="s">
        <v>713</v>
      </c>
    </row>
  </sheetData>
  <mergeCells count="4">
    <mergeCell ref="C2:N2"/>
    <mergeCell ref="Q2:V2"/>
    <mergeCell ref="C11:N11"/>
    <mergeCell ref="C20:N20"/>
  </mergeCells>
  <dataValidations>
    <dataValidation type="custom" allowBlank="1" showDropDown="1" sqref="M5:M7 M14:M16">
      <formula1>AND(ISNUMBER(M5),(NOT(OR(NOT(ISERROR(DATEVALUE(M5))), AND(ISNUMBER(M5), LEFT(CELL("format", M5))="D")))))</formula1>
    </dataValidation>
  </dataValidations>
  <hyperlinks>
    <hyperlink r:id="rId1" ref="M312"/>
  </hyperlinks>
  <drawing r:id="rId2"/>
  <tableParts count="3">
    <tablePart r:id="rId6"/>
    <tablePart r:id="rId7"/>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2" width="24.5"/>
    <col customWidth="1" min="5" max="5" width="24.5"/>
  </cols>
  <sheetData>
    <row r="1">
      <c r="A1" s="83" t="s">
        <v>639</v>
      </c>
      <c r="B1" s="84" t="s">
        <v>640</v>
      </c>
      <c r="C1" s="34" t="s">
        <v>642</v>
      </c>
      <c r="D1" s="85" t="s">
        <v>644</v>
      </c>
    </row>
    <row r="2">
      <c r="A2" s="5"/>
      <c r="C2" s="2"/>
    </row>
    <row r="3">
      <c r="A3" s="5" t="s">
        <v>645</v>
      </c>
      <c r="C3" s="2" t="s">
        <v>647</v>
      </c>
    </row>
    <row r="4">
      <c r="A4" s="5" t="s">
        <v>216</v>
      </c>
      <c r="B4" s="5" t="s">
        <v>648</v>
      </c>
      <c r="C4" s="6" t="s">
        <v>453</v>
      </c>
      <c r="E4" s="5" t="s">
        <v>649</v>
      </c>
    </row>
    <row r="5">
      <c r="A5" s="2">
        <v>141.0</v>
      </c>
      <c r="B5" s="15" t="str">
        <f t="array" ref="B5">_xlfn.XLOOKUP(A5, Summary!$E$30:$E$234,Summary!$H$30:$H$234, "Not Found")</f>
        <v>Tool Registry &amp; Action Interface</v>
      </c>
      <c r="C5" s="2" t="s">
        <v>41</v>
      </c>
      <c r="E5" s="15" t="str">
        <f t="array" ref="E5:E8">UNIQUE(B5:B43)</f>
        <v>Tool Registry &amp; Action Interface</v>
      </c>
      <c r="F5" s="15">
        <f t="shared" ref="F5:F8" si="1">COUNTIF($B$5:$B$43,E5)</f>
        <v>12</v>
      </c>
    </row>
    <row r="6">
      <c r="A6" s="2">
        <v>159.0</v>
      </c>
      <c r="B6" s="15" t="str">
        <f t="array" ref="B6">_xlfn.XLOOKUP(A6, Summary!$E$30:$E$234,Summary!$H$30:$H$234, "Not Found")</f>
        <v>Lifecycle &amp; Orchestration Loop</v>
      </c>
      <c r="C6" s="2" t="s">
        <v>41</v>
      </c>
      <c r="D6" s="2" t="s">
        <v>654</v>
      </c>
      <c r="E6" s="15" t="s">
        <v>232</v>
      </c>
      <c r="F6" s="15">
        <f t="shared" si="1"/>
        <v>11</v>
      </c>
    </row>
    <row r="7">
      <c r="A7" s="2">
        <v>160.0</v>
      </c>
      <c r="B7" s="15" t="str">
        <f t="array" ref="B7">_xlfn.XLOOKUP(A7, Summary!$E$30:$E$234,Summary!$H$30:$H$234, "Not Found")</f>
        <v>Tool Registry &amp; Action Interface</v>
      </c>
      <c r="C7" s="2" t="s">
        <v>41</v>
      </c>
      <c r="E7" s="15" t="s">
        <v>260</v>
      </c>
      <c r="F7" s="15">
        <f t="shared" si="1"/>
        <v>9</v>
      </c>
    </row>
    <row r="8">
      <c r="A8" s="2">
        <v>298.0</v>
      </c>
      <c r="B8" s="15" t="str">
        <f t="array" ref="B8">_xlfn.XLOOKUP(A8, Summary!$E$30:$E$234,Summary!$H$30:$H$234, "Not Found")</f>
        <v>Context &amp; Memory Management</v>
      </c>
      <c r="C8" s="2" t="s">
        <v>41</v>
      </c>
      <c r="E8" s="15" t="s">
        <v>255</v>
      </c>
      <c r="F8" s="15">
        <f t="shared" si="1"/>
        <v>7</v>
      </c>
    </row>
    <row r="9">
      <c r="A9" s="2">
        <v>509.0</v>
      </c>
      <c r="B9" s="15" t="str">
        <f t="array" ref="B9">_xlfn.XLOOKUP(A9, Summary!$E$30:$E$234,Summary!$H$30:$H$234, "Not Found")</f>
        <v>Context &amp; Memory Management</v>
      </c>
      <c r="C9" s="2" t="s">
        <v>41</v>
      </c>
    </row>
    <row r="10">
      <c r="A10" s="2">
        <v>962.0</v>
      </c>
      <c r="B10" s="15" t="str">
        <f t="array" ref="B10">_xlfn.XLOOKUP(A10, Summary!$E$30:$E$234,Summary!$H$30:$H$234, "Not Found")</f>
        <v>Context &amp; Memory Management</v>
      </c>
      <c r="C10" s="2" t="s">
        <v>41</v>
      </c>
      <c r="E10" s="5" t="s">
        <v>658</v>
      </c>
      <c r="F10" s="15">
        <f>COUNTIF(C5:C43, "Y")</f>
        <v>18</v>
      </c>
    </row>
    <row r="11">
      <c r="A11" s="32">
        <v>974.0</v>
      </c>
      <c r="B11" s="15" t="str">
        <f t="array" ref="B11">_xlfn.XLOOKUP(A11, Summary!$E$30:$E$234,Summary!$H$30:$H$234, "Not Found")</f>
        <v>Context &amp; Memory Management</v>
      </c>
      <c r="C11" s="2" t="s">
        <v>32</v>
      </c>
    </row>
    <row r="12">
      <c r="A12" s="32">
        <v>1210.0</v>
      </c>
      <c r="B12" s="15" t="str">
        <f t="array" ref="B12">_xlfn.XLOOKUP(A12, Summary!$E$30:$E$234,Summary!$H$30:$H$234, "Not Found")</f>
        <v>Tool Registry &amp; Action Interface</v>
      </c>
      <c r="C12" s="2" t="s">
        <v>32</v>
      </c>
      <c r="E12" s="5" t="s">
        <v>664</v>
      </c>
    </row>
    <row r="13">
      <c r="A13" s="2">
        <v>1277.0</v>
      </c>
      <c r="B13" s="15" t="str">
        <f t="array" ref="B13">_xlfn.XLOOKUP(A13, Summary!$E$30:$E$234,Summary!$H$30:$H$234, "Not Found")</f>
        <v>Tool Registry &amp; Action Interface</v>
      </c>
      <c r="C13" s="2" t="s">
        <v>32</v>
      </c>
      <c r="E13" s="15" t="str">
        <f t="array" ref="E13:E16">UNIQUE(B5:B43)</f>
        <v>Tool Registry &amp; Action Interface</v>
      </c>
      <c r="F13" s="15">
        <f t="shared" ref="F13:F16" si="2">COUNTIFS($B$5:$B$43,E13,$C$5:$C$43,"Y")</f>
        <v>6</v>
      </c>
    </row>
    <row r="14">
      <c r="A14" s="86">
        <v>1280.0</v>
      </c>
      <c r="B14" s="15" t="str">
        <f t="array" ref="B14">_xlfn.XLOOKUP(A14, Summary!$E$30:$E$234,Summary!$H$30:$H$234, "Not Found")</f>
        <v>Lifecycle &amp; Orchestration Loop</v>
      </c>
      <c r="C14" s="2" t="s">
        <v>32</v>
      </c>
      <c r="E14" s="15" t="s">
        <v>232</v>
      </c>
      <c r="F14" s="15">
        <f t="shared" si="2"/>
        <v>5</v>
      </c>
    </row>
    <row r="15">
      <c r="A15" s="2">
        <v>1297.0</v>
      </c>
      <c r="B15" s="15" t="str">
        <f t="array" ref="B15">_xlfn.XLOOKUP(A15, Summary!$E$30:$E$234,Summary!$H$30:$H$234, "Not Found")</f>
        <v>Observability &amp; Environment</v>
      </c>
      <c r="C15" s="2" t="s">
        <v>32</v>
      </c>
      <c r="E15" s="15" t="s">
        <v>260</v>
      </c>
      <c r="F15" s="15">
        <f t="shared" si="2"/>
        <v>3</v>
      </c>
    </row>
    <row r="16">
      <c r="A16" s="2">
        <v>1583.0</v>
      </c>
      <c r="B16" s="15" t="str">
        <f t="array" ref="B16">_xlfn.XLOOKUP(A16, Summary!$E$30:$E$234,Summary!$H$30:$H$234, "Not Found")</f>
        <v>Tool Registry &amp; Action Interface</v>
      </c>
      <c r="C16" s="2" t="s">
        <v>41</v>
      </c>
      <c r="E16" s="15" t="s">
        <v>255</v>
      </c>
      <c r="F16" s="15">
        <f t="shared" si="2"/>
        <v>4</v>
      </c>
    </row>
    <row r="17">
      <c r="A17" s="2">
        <v>1596.0</v>
      </c>
      <c r="B17" s="15" t="str">
        <f t="array" ref="B17">_xlfn.XLOOKUP(A17, Summary!$E$30:$E$234,Summary!$H$30:$H$234, "Not Found")</f>
        <v>Lifecycle &amp; Orchestration Loop</v>
      </c>
      <c r="C17" s="2" t="s">
        <v>41</v>
      </c>
    </row>
    <row r="18">
      <c r="A18" s="2">
        <v>1688.0</v>
      </c>
      <c r="B18" s="15" t="str">
        <f t="array" ref="B18">_xlfn.XLOOKUP(A18, Summary!$E$30:$E$234,Summary!$H$30:$H$234, "Not Found")</f>
        <v>Lifecycle &amp; Orchestration Loop</v>
      </c>
      <c r="C18" s="2" t="s">
        <v>41</v>
      </c>
    </row>
    <row r="19">
      <c r="A19" s="2">
        <v>1702.0</v>
      </c>
      <c r="B19" s="15" t="str">
        <f t="array" ref="B19">_xlfn.XLOOKUP(A19, Summary!$E$30:$E$234,Summary!$H$30:$H$234, "Not Found")</f>
        <v>Lifecycle &amp; Orchestration Loop</v>
      </c>
      <c r="C19" s="2" t="s">
        <v>41</v>
      </c>
    </row>
    <row r="20">
      <c r="A20" s="2">
        <v>1792.0</v>
      </c>
      <c r="B20" s="15" t="str">
        <f t="array" ref="B20">_xlfn.XLOOKUP(A20, Summary!$E$30:$E$234,Summary!$H$30:$H$234, "Not Found")</f>
        <v>Observability &amp; Environment</v>
      </c>
      <c r="C20" s="2" t="s">
        <v>41</v>
      </c>
    </row>
    <row r="21">
      <c r="A21" s="2">
        <v>1813.0</v>
      </c>
      <c r="B21" s="15" t="str">
        <f t="array" ref="B21">_xlfn.XLOOKUP(A21, Summary!$E$30:$E$234,Summary!$H$30:$H$234, "Not Found")</f>
        <v>Tool Registry &amp; Action Interface</v>
      </c>
      <c r="C21" s="2" t="s">
        <v>32</v>
      </c>
    </row>
    <row r="22">
      <c r="A22" s="2">
        <v>1885.0</v>
      </c>
      <c r="B22" s="15" t="str">
        <f t="array" ref="B22">_xlfn.XLOOKUP(A22, Summary!$E$30:$E$234,Summary!$H$30:$H$234, "Not Found")</f>
        <v>Observability &amp; Environment</v>
      </c>
      <c r="C22" s="2" t="s">
        <v>41</v>
      </c>
    </row>
    <row r="23">
      <c r="A23" s="2">
        <v>1900.0</v>
      </c>
      <c r="B23" s="15" t="str">
        <f t="array" ref="B23">_xlfn.XLOOKUP(A23, Summary!$E$30:$E$234,Summary!$H$30:$H$234, "Not Found")</f>
        <v>Tool Registry &amp; Action Interface</v>
      </c>
      <c r="C23" s="2" t="s">
        <v>41</v>
      </c>
      <c r="D23" s="2" t="s">
        <v>654</v>
      </c>
    </row>
    <row r="24">
      <c r="A24" s="32">
        <v>1904.0</v>
      </c>
      <c r="B24" s="15" t="str">
        <f t="array" ref="B24">_xlfn.XLOOKUP(A24, Summary!$E$30:$E$234,Summary!$H$30:$H$234, "Not Found")</f>
        <v>Lifecycle &amp; Orchestration Loop</v>
      </c>
      <c r="C24" s="2" t="s">
        <v>32</v>
      </c>
    </row>
    <row r="25">
      <c r="A25" s="86">
        <v>2007.0</v>
      </c>
      <c r="B25" s="15" t="str">
        <f t="array" ref="B25">_xlfn.XLOOKUP(A25, Summary!$E$30:$E$234,Summary!$H$30:$H$234, "Not Found")</f>
        <v>Observability &amp; Environment</v>
      </c>
      <c r="C25" s="2" t="s">
        <v>32</v>
      </c>
    </row>
    <row r="26">
      <c r="A26" s="2">
        <v>2055.0</v>
      </c>
      <c r="B26" s="15" t="str">
        <f t="array" ref="B26">_xlfn.XLOOKUP(A26, Summary!$E$30:$E$234,Summary!$H$30:$H$234, "Not Found")</f>
        <v>Observability &amp; Environment</v>
      </c>
      <c r="C26" s="2" t="s">
        <v>41</v>
      </c>
    </row>
    <row r="27">
      <c r="A27" s="86">
        <v>2089.0</v>
      </c>
      <c r="B27" s="15" t="str">
        <f t="array" ref="B27">_xlfn.XLOOKUP(A27, Summary!$E$30:$E$234,Summary!$H$30:$H$234, "Not Found")</f>
        <v>Lifecycle &amp; Orchestration Loop</v>
      </c>
      <c r="C27" s="2" t="s">
        <v>32</v>
      </c>
    </row>
    <row r="28">
      <c r="A28" s="86">
        <v>2166.0</v>
      </c>
      <c r="B28" s="15" t="str">
        <f t="array" ref="B28">_xlfn.XLOOKUP(A28, Summary!$E$30:$E$234,Summary!$H$30:$H$234, "Not Found")</f>
        <v>Observability &amp; Environment</v>
      </c>
      <c r="C28" s="2" t="s">
        <v>32</v>
      </c>
    </row>
    <row r="29">
      <c r="A29" s="2">
        <v>2173.0</v>
      </c>
      <c r="B29" s="15" t="str">
        <f t="array" ref="B29">_xlfn.XLOOKUP(A29, Summary!$E$30:$E$234,Summary!$H$30:$H$234, "Not Found")</f>
        <v>Context &amp; Memory Management</v>
      </c>
      <c r="C29" s="2" t="s">
        <v>41</v>
      </c>
    </row>
    <row r="30">
      <c r="A30" s="2">
        <v>2177.0</v>
      </c>
      <c r="B30" s="15" t="str">
        <f t="array" ref="B30">_xlfn.XLOOKUP(A30, Summary!$E$30:$E$234,Summary!$H$30:$H$234, "Not Found")</f>
        <v>Tool Registry &amp; Action Interface</v>
      </c>
      <c r="C30" s="2" t="s">
        <v>32</v>
      </c>
    </row>
    <row r="31">
      <c r="A31" s="2">
        <v>2179.0</v>
      </c>
      <c r="B31" s="15" t="str">
        <f t="array" ref="B31">_xlfn.XLOOKUP(A31, Summary!$E$30:$E$234,Summary!$H$30:$H$234, "Not Found")</f>
        <v>Tool Registry &amp; Action Interface</v>
      </c>
      <c r="C31" s="2" t="s">
        <v>41</v>
      </c>
    </row>
    <row r="32">
      <c r="A32" s="32">
        <v>2235.0</v>
      </c>
      <c r="B32" s="15" t="str">
        <f t="array" ref="B32">_xlfn.XLOOKUP(A32, Summary!$E$30:$E$234,Summary!$H$30:$H$234, "Not Found")</f>
        <v>Observability &amp; Environment</v>
      </c>
      <c r="C32" s="2" t="s">
        <v>32</v>
      </c>
    </row>
    <row r="33">
      <c r="A33" s="2">
        <v>2266.0</v>
      </c>
      <c r="B33" s="15" t="str">
        <f t="array" ref="B33">_xlfn.XLOOKUP(A33, Summary!$E$30:$E$234,Summary!$H$30:$H$234, "Not Found")</f>
        <v>Lifecycle &amp; Orchestration Loop</v>
      </c>
      <c r="C33" s="2" t="s">
        <v>41</v>
      </c>
    </row>
    <row r="34">
      <c r="A34" s="2">
        <v>2330.0</v>
      </c>
      <c r="B34" s="15" t="str">
        <f t="array" ref="B34">_xlfn.XLOOKUP(A34, Summary!$E$30:$E$234,Summary!$H$30:$H$234, "Not Found")</f>
        <v>Tool Registry &amp; Action Interface</v>
      </c>
      <c r="C34" s="2" t="s">
        <v>41</v>
      </c>
    </row>
    <row r="35">
      <c r="A35" s="2">
        <v>2587.0</v>
      </c>
      <c r="B35" s="15" t="str">
        <f t="array" ref="B35">_xlfn.XLOOKUP(A35, Summary!$E$30:$E$234,Summary!$H$30:$H$234, "Not Found")</f>
        <v>Context &amp; Memory Management</v>
      </c>
      <c r="C35" s="2" t="s">
        <v>41</v>
      </c>
    </row>
    <row r="36">
      <c r="A36" s="32">
        <v>2635.0</v>
      </c>
      <c r="B36" s="15" t="str">
        <f t="array" ref="B36">_xlfn.XLOOKUP(A36, Summary!$E$30:$E$234,Summary!$H$30:$H$234, "Not Found")</f>
        <v>Context &amp; Memory Management</v>
      </c>
      <c r="C36" s="2" t="s">
        <v>32</v>
      </c>
    </row>
    <row r="37">
      <c r="A37" s="32">
        <v>2652.0</v>
      </c>
      <c r="B37" s="15" t="str">
        <f t="array" ref="B37">_xlfn.XLOOKUP(A37, Summary!$E$30:$E$234,Summary!$H$30:$H$234, "Not Found")</f>
        <v>Context &amp; Memory Management</v>
      </c>
      <c r="C37" s="2" t="s">
        <v>32</v>
      </c>
    </row>
    <row r="38">
      <c r="A38" s="2">
        <v>3226.0</v>
      </c>
      <c r="B38" s="15" t="str">
        <f t="array" ref="B38">_xlfn.XLOOKUP(A38, Summary!$E$30:$E$234,Summary!$H$30:$H$234, "Not Found")</f>
        <v>Lifecycle &amp; Orchestration Loop</v>
      </c>
      <c r="C38" s="2" t="s">
        <v>32</v>
      </c>
    </row>
    <row r="39">
      <c r="A39" s="2">
        <v>3422.0</v>
      </c>
      <c r="B39" s="15" t="str">
        <f t="array" ref="B39">_xlfn.XLOOKUP(A39, Summary!$E$30:$E$234,Summary!$H$30:$H$234, "Not Found")</f>
        <v>Lifecycle &amp; Orchestration Loop</v>
      </c>
      <c r="C39" s="2" t="s">
        <v>41</v>
      </c>
    </row>
    <row r="40">
      <c r="A40" s="2">
        <v>3494.0</v>
      </c>
      <c r="B40" s="15" t="str">
        <f t="array" ref="B40">_xlfn.XLOOKUP(A40, Summary!$E$30:$E$234,Summary!$H$30:$H$234, "Not Found")</f>
        <v>Context &amp; Memory Management</v>
      </c>
      <c r="C40" s="2" t="s">
        <v>41</v>
      </c>
    </row>
    <row r="41">
      <c r="A41" s="32">
        <v>3938.0</v>
      </c>
      <c r="B41" s="15" t="str">
        <f t="array" ref="B41">_xlfn.XLOOKUP(A41, Summary!$E$30:$E$234,Summary!$H$30:$H$234, "Not Found")</f>
        <v>Tool Registry &amp; Action Interface</v>
      </c>
      <c r="C41" s="2" t="s">
        <v>32</v>
      </c>
    </row>
    <row r="42">
      <c r="A42" s="2">
        <v>4543.0</v>
      </c>
      <c r="B42" s="15" t="str">
        <f t="array" ref="B42">_xlfn.XLOOKUP(A42, Summary!$E$30:$E$234,Summary!$H$30:$H$234, "Not Found")</f>
        <v>Tool Registry &amp; Action Interface</v>
      </c>
      <c r="C42" s="2" t="s">
        <v>32</v>
      </c>
    </row>
    <row r="43">
      <c r="A43" s="2">
        <v>6050.0</v>
      </c>
      <c r="B43" s="15" t="str">
        <f t="array" ref="B43">_xlfn.XLOOKUP(A43, Summary!$E$30:$E$234,Summary!$H$30:$H$234, "Not Found")</f>
        <v>Lifecycle &amp; Orchestration Loop</v>
      </c>
      <c r="C43" s="2" t="s">
        <v>32</v>
      </c>
    </row>
    <row r="46">
      <c r="A46" s="5" t="s">
        <v>695</v>
      </c>
    </row>
    <row r="47">
      <c r="A47" s="5" t="s">
        <v>216</v>
      </c>
      <c r="B47" s="5" t="s">
        <v>648</v>
      </c>
      <c r="C47" s="6" t="s">
        <v>453</v>
      </c>
      <c r="E47" s="5" t="s">
        <v>649</v>
      </c>
    </row>
    <row r="48">
      <c r="A48" s="2">
        <v>56.0</v>
      </c>
      <c r="B48" s="15" t="str">
        <f t="array" ref="B48">_xlfn.XLOOKUP(A48, Summary!$E$30:$E$234,Summary!$H$30:$H$234, "Not Found")</f>
        <v>Tool Registry &amp; Action Interface</v>
      </c>
      <c r="C48" s="2" t="s">
        <v>41</v>
      </c>
      <c r="E48" s="15" t="str">
        <f t="array" ref="E48:E51">UNIQUE(B48:B59)</f>
        <v>Tool Registry &amp; Action Interface</v>
      </c>
      <c r="F48" s="15">
        <f t="shared" ref="F48:F51" si="3">COUNTIF($B$48:$B$59,E48)</f>
        <v>4</v>
      </c>
    </row>
    <row r="49">
      <c r="A49" s="2">
        <v>83.0</v>
      </c>
      <c r="B49" s="15" t="str">
        <f t="array" ref="B49">_xlfn.XLOOKUP(A49, Summary!$E$30:$E$234,Summary!$H$30:$H$234, "Not Found")</f>
        <v>Tool Registry &amp; Action Interface</v>
      </c>
      <c r="C49" s="2" t="s">
        <v>41</v>
      </c>
      <c r="E49" s="15" t="s">
        <v>260</v>
      </c>
      <c r="F49" s="15">
        <f t="shared" si="3"/>
        <v>2</v>
      </c>
    </row>
    <row r="50">
      <c r="A50" s="2">
        <v>1112.0</v>
      </c>
      <c r="B50" s="15" t="str">
        <f t="array" ref="B50">_xlfn.XLOOKUP(A50, Summary!$E$30:$E$234,Summary!$H$30:$H$234, "Not Found")</f>
        <v>Context &amp; Memory Management</v>
      </c>
      <c r="C50" s="2" t="s">
        <v>41</v>
      </c>
      <c r="E50" s="15" t="s">
        <v>232</v>
      </c>
      <c r="F50" s="15">
        <f t="shared" si="3"/>
        <v>3</v>
      </c>
    </row>
    <row r="51">
      <c r="A51" s="86">
        <v>1280.0</v>
      </c>
      <c r="B51" s="15" t="str">
        <f t="array" ref="B51">_xlfn.XLOOKUP(A51, Summary!$E$30:$E$234,Summary!$H$30:$H$234, "Not Found")</f>
        <v>Lifecycle &amp; Orchestration Loop</v>
      </c>
      <c r="C51" s="2" t="s">
        <v>32</v>
      </c>
      <c r="E51" s="15" t="s">
        <v>255</v>
      </c>
      <c r="F51" s="15">
        <f t="shared" si="3"/>
        <v>3</v>
      </c>
    </row>
    <row r="52">
      <c r="A52" s="87">
        <v>1334.0</v>
      </c>
      <c r="B52" s="15" t="str">
        <f t="array" ref="B52">_xlfn.XLOOKUP(A52, Summary!$E$30:$E$234,Summary!$H$30:$H$234, "Not Found")</f>
        <v>Tool Registry &amp; Action Interface</v>
      </c>
      <c r="C52" s="2" t="s">
        <v>32</v>
      </c>
    </row>
    <row r="53">
      <c r="A53" s="2">
        <v>1596.0</v>
      </c>
      <c r="B53" s="15" t="str">
        <f t="array" ref="B53">_xlfn.XLOOKUP(A53, Summary!$E$30:$E$234,Summary!$H$30:$H$234, "Not Found")</f>
        <v>Lifecycle &amp; Orchestration Loop</v>
      </c>
      <c r="C53" s="2" t="s">
        <v>41</v>
      </c>
      <c r="E53" s="5" t="s">
        <v>658</v>
      </c>
      <c r="F53" s="15">
        <f>COUNTIF(C48:C59, "Y")</f>
        <v>7</v>
      </c>
    </row>
    <row r="54">
      <c r="A54" s="2">
        <v>1792.0</v>
      </c>
      <c r="B54" s="15" t="str">
        <f t="array" ref="B54">_xlfn.XLOOKUP(A54, Summary!$E$30:$E$234,Summary!$H$30:$H$234, "Not Found")</f>
        <v>Observability &amp; Environment</v>
      </c>
      <c r="C54" s="2" t="s">
        <v>41</v>
      </c>
    </row>
    <row r="55">
      <c r="A55" s="87">
        <v>1892.0</v>
      </c>
      <c r="B55" s="15" t="str">
        <f t="array" ref="B55">_xlfn.XLOOKUP(A55, Summary!$E$30:$E$234,Summary!$H$30:$H$234, "Not Found")</f>
        <v>Tool Registry &amp; Action Interface</v>
      </c>
      <c r="C55" s="2" t="s">
        <v>32</v>
      </c>
      <c r="E55" s="5" t="s">
        <v>664</v>
      </c>
    </row>
    <row r="56">
      <c r="A56" s="86">
        <v>2007.0</v>
      </c>
      <c r="B56" s="15" t="str">
        <f t="array" ref="B56">_xlfn.XLOOKUP(A56, Summary!$E$30:$E$234,Summary!$H$30:$H$234, "Not Found")</f>
        <v>Observability &amp; Environment</v>
      </c>
      <c r="C56" s="2" t="s">
        <v>32</v>
      </c>
      <c r="E56" s="15" t="str">
        <f t="array" ref="E56:E59">UNIQUE(B48:B59)</f>
        <v>Tool Registry &amp; Action Interface</v>
      </c>
      <c r="F56" s="15">
        <f t="shared" ref="F56:F59" si="4">COUNTIFS($B$48:$B$59,E56,$C$48:$C$59,"Y")</f>
        <v>2</v>
      </c>
    </row>
    <row r="57">
      <c r="A57" s="86">
        <v>2089.0</v>
      </c>
      <c r="B57" s="15" t="str">
        <f t="array" ref="B57">_xlfn.XLOOKUP(A57, Summary!$E$30:$E$234,Summary!$H$30:$H$234, "Not Found")</f>
        <v>Lifecycle &amp; Orchestration Loop</v>
      </c>
      <c r="C57" s="2" t="s">
        <v>32</v>
      </c>
      <c r="E57" s="15" t="s">
        <v>260</v>
      </c>
      <c r="F57" s="15">
        <f t="shared" si="4"/>
        <v>1</v>
      </c>
    </row>
    <row r="58">
      <c r="A58" s="86">
        <v>2166.0</v>
      </c>
      <c r="B58" s="15" t="str">
        <f t="array" ref="B58">_xlfn.XLOOKUP(A58, Summary!$E$30:$E$234,Summary!$H$30:$H$234, "Not Found")</f>
        <v>Observability &amp; Environment</v>
      </c>
      <c r="C58" s="2" t="s">
        <v>32</v>
      </c>
      <c r="E58" s="15" t="s">
        <v>232</v>
      </c>
      <c r="F58" s="15">
        <f t="shared" si="4"/>
        <v>2</v>
      </c>
    </row>
    <row r="59">
      <c r="A59" s="87">
        <v>2587.0</v>
      </c>
      <c r="B59" s="15" t="str">
        <f t="array" ref="B59">_xlfn.XLOOKUP(A59, Summary!$E$30:$E$234,Summary!$H$30:$H$234, "Not Found")</f>
        <v>Context &amp; Memory Management</v>
      </c>
      <c r="C59" s="2" t="s">
        <v>32</v>
      </c>
      <c r="E59" s="15" t="s">
        <v>255</v>
      </c>
      <c r="F59" s="15">
        <f t="shared" si="4"/>
        <v>2</v>
      </c>
    </row>
    <row r="62">
      <c r="A62" s="5" t="s">
        <v>460</v>
      </c>
    </row>
    <row r="63">
      <c r="A63" s="5" t="s">
        <v>216</v>
      </c>
      <c r="B63" s="5" t="s">
        <v>648</v>
      </c>
      <c r="C63" s="6" t="s">
        <v>453</v>
      </c>
      <c r="E63" s="5" t="s">
        <v>649</v>
      </c>
    </row>
    <row r="64">
      <c r="A64" s="2">
        <v>56.0</v>
      </c>
      <c r="B64" s="15" t="str">
        <f t="array" ref="B64">_xlfn.XLOOKUP(A64, Summary!$E$30:$E$234,Summary!$H$30:$H$234, "Not Found")</f>
        <v>Tool Registry &amp; Action Interface</v>
      </c>
      <c r="C64" s="2" t="s">
        <v>41</v>
      </c>
      <c r="E64" s="15" t="str">
        <f t="array" ref="E64:E67">UNIQUE(B64:B98)</f>
        <v>Tool Registry &amp; Action Interface</v>
      </c>
      <c r="F64" s="15">
        <f t="shared" ref="F64:F67" si="5">COUNTIF($B$64:$B$98,E64)</f>
        <v>14</v>
      </c>
    </row>
    <row r="65">
      <c r="A65" s="2">
        <v>83.0</v>
      </c>
      <c r="B65" s="15" t="str">
        <f t="array" ref="B65">_xlfn.XLOOKUP(A65, Summary!$E$30:$E$234,Summary!$H$30:$H$234, "Not Found")</f>
        <v>Tool Registry &amp; Action Interface</v>
      </c>
      <c r="C65" s="2" t="s">
        <v>41</v>
      </c>
      <c r="E65" s="15" t="s">
        <v>260</v>
      </c>
      <c r="F65" s="15">
        <f t="shared" si="5"/>
        <v>8</v>
      </c>
    </row>
    <row r="66">
      <c r="A66" s="2">
        <v>169.0</v>
      </c>
      <c r="B66" s="15" t="str">
        <f t="array" ref="B66">_xlfn.XLOOKUP(A66, Summary!$E$30:$E$234,Summary!$H$30:$H$234, "Not Found")</f>
        <v>Tool Registry &amp; Action Interface</v>
      </c>
      <c r="C66" s="2" t="s">
        <v>41</v>
      </c>
      <c r="E66" s="15" t="s">
        <v>232</v>
      </c>
      <c r="F66" s="15">
        <f t="shared" si="5"/>
        <v>6</v>
      </c>
    </row>
    <row r="67">
      <c r="A67" s="2">
        <v>441.0</v>
      </c>
      <c r="B67" s="15" t="str">
        <f t="array" ref="B67">_xlfn.XLOOKUP(A67, Summary!$E$30:$E$234,Summary!$H$30:$H$234, "Not Found")</f>
        <v>Context &amp; Memory Management</v>
      </c>
      <c r="C67" s="2" t="s">
        <v>32</v>
      </c>
      <c r="E67" s="15" t="s">
        <v>255</v>
      </c>
      <c r="F67" s="15">
        <f t="shared" si="5"/>
        <v>7</v>
      </c>
    </row>
    <row r="68">
      <c r="A68" s="32">
        <v>974.0</v>
      </c>
      <c r="B68" s="15" t="str">
        <f t="array" ref="B68">_xlfn.XLOOKUP(A68, Summary!$E$30:$E$234,Summary!$H$30:$H$234, "Not Found")</f>
        <v>Context &amp; Memory Management</v>
      </c>
      <c r="C68" s="2" t="s">
        <v>32</v>
      </c>
    </row>
    <row r="69">
      <c r="A69" s="2">
        <v>1112.0</v>
      </c>
      <c r="B69" s="15" t="str">
        <f t="array" ref="B69">_xlfn.XLOOKUP(A69, Summary!$E$30:$E$234,Summary!$H$30:$H$234, "Not Found")</f>
        <v>Context &amp; Memory Management</v>
      </c>
      <c r="C69" s="2" t="s">
        <v>41</v>
      </c>
      <c r="E69" s="5" t="s">
        <v>658</v>
      </c>
      <c r="F69" s="15">
        <f>COUNTIF(C64:C98, "Y")</f>
        <v>17</v>
      </c>
    </row>
    <row r="70">
      <c r="A70" s="32">
        <v>1210.0</v>
      </c>
      <c r="B70" s="15" t="str">
        <f t="array" ref="B70">_xlfn.XLOOKUP(A70, Summary!$E$30:$E$234,Summary!$H$30:$H$234, "Not Found")</f>
        <v>Tool Registry &amp; Action Interface</v>
      </c>
      <c r="C70" s="2" t="s">
        <v>32</v>
      </c>
    </row>
    <row r="71">
      <c r="A71" s="2">
        <v>1277.0</v>
      </c>
      <c r="B71" s="15" t="str">
        <f t="array" ref="B71">_xlfn.XLOOKUP(A71, Summary!$E$30:$E$234,Summary!$H$30:$H$234, "Not Found")</f>
        <v>Tool Registry &amp; Action Interface</v>
      </c>
      <c r="C71" s="2" t="s">
        <v>41</v>
      </c>
      <c r="E71" s="5" t="s">
        <v>664</v>
      </c>
    </row>
    <row r="72">
      <c r="A72" s="86">
        <v>1280.0</v>
      </c>
      <c r="B72" s="15" t="str">
        <f t="array" ref="B72">_xlfn.XLOOKUP(A72, Summary!$E$30:$E$234,Summary!$H$30:$H$234, "Not Found")</f>
        <v>Lifecycle &amp; Orchestration Loop</v>
      </c>
      <c r="C72" s="2" t="s">
        <v>32</v>
      </c>
      <c r="E72" s="15" t="str">
        <f t="array" ref="E72:E75">UNIQUE(B64:B98)</f>
        <v>Tool Registry &amp; Action Interface</v>
      </c>
      <c r="F72" s="15">
        <f t="shared" ref="F72:F75" si="6">COUNTIFS($B$64:$B$98,E72,$C$64:$C$98,"Y")</f>
        <v>6</v>
      </c>
    </row>
    <row r="73">
      <c r="A73" s="2">
        <v>1297.0</v>
      </c>
      <c r="B73" s="15" t="str">
        <f t="array" ref="B73">_xlfn.XLOOKUP(A73, Summary!$E$30:$E$234,Summary!$H$30:$H$234, "Not Found")</f>
        <v>Observability &amp; Environment</v>
      </c>
      <c r="C73" s="2" t="s">
        <v>41</v>
      </c>
      <c r="E73" s="15" t="s">
        <v>260</v>
      </c>
      <c r="F73" s="15">
        <f t="shared" si="6"/>
        <v>5</v>
      </c>
    </row>
    <row r="74">
      <c r="A74" s="87">
        <v>1334.0</v>
      </c>
      <c r="B74" s="15" t="str">
        <f t="array" ref="B74">_xlfn.XLOOKUP(A74, Summary!$E$30:$E$234,Summary!$H$30:$H$234, "Not Found")</f>
        <v>Tool Registry &amp; Action Interface</v>
      </c>
      <c r="C74" s="2" t="s">
        <v>32</v>
      </c>
      <c r="E74" s="15" t="s">
        <v>232</v>
      </c>
      <c r="F74" s="15">
        <f t="shared" si="6"/>
        <v>3</v>
      </c>
    </row>
    <row r="75">
      <c r="A75" s="2">
        <v>1336.0</v>
      </c>
      <c r="B75" s="15" t="str">
        <f t="array" ref="B75">_xlfn.XLOOKUP(A75, Summary!$E$30:$E$234,Summary!$H$30:$H$234, "Not Found")</f>
        <v>Context &amp; Memory Management</v>
      </c>
      <c r="C75" s="2" t="s">
        <v>41</v>
      </c>
      <c r="E75" s="15" t="s">
        <v>255</v>
      </c>
      <c r="F75" s="15">
        <f t="shared" si="6"/>
        <v>3</v>
      </c>
    </row>
    <row r="76">
      <c r="A76" s="2">
        <v>1702.0</v>
      </c>
      <c r="B76" s="15" t="str">
        <f t="array" ref="B76">_xlfn.XLOOKUP(A76, Summary!$E$30:$E$234,Summary!$H$30:$H$234, "Not Found")</f>
        <v>Lifecycle &amp; Orchestration Loop</v>
      </c>
      <c r="C76" s="2" t="s">
        <v>41</v>
      </c>
    </row>
    <row r="77">
      <c r="A77" s="2">
        <v>1792.0</v>
      </c>
      <c r="B77" s="15" t="str">
        <f t="array" ref="B77">_xlfn.XLOOKUP(A77, Summary!$E$30:$E$234,Summary!$H$30:$H$234, "Not Found")</f>
        <v>Observability &amp; Environment</v>
      </c>
      <c r="C77" s="2" t="s">
        <v>41</v>
      </c>
    </row>
    <row r="78">
      <c r="A78" s="2">
        <v>1885.0</v>
      </c>
      <c r="B78" s="15" t="str">
        <f t="array" ref="B78">_xlfn.XLOOKUP(A78, Summary!$E$30:$E$234,Summary!$H$30:$H$234, "Not Found")</f>
        <v>Observability &amp; Environment</v>
      </c>
      <c r="C78" s="2" t="s">
        <v>41</v>
      </c>
    </row>
    <row r="79">
      <c r="A79" s="87">
        <v>1892.0</v>
      </c>
      <c r="B79" s="15" t="str">
        <f t="array" ref="B79">_xlfn.XLOOKUP(A79, Summary!$E$30:$E$234,Summary!$H$30:$H$234, "Not Found")</f>
        <v>Tool Registry &amp; Action Interface</v>
      </c>
      <c r="C79" s="2" t="s">
        <v>32</v>
      </c>
    </row>
    <row r="80">
      <c r="A80" s="32">
        <v>1904.0</v>
      </c>
      <c r="B80" s="15" t="str">
        <f t="array" ref="B80">_xlfn.XLOOKUP(A80, Summary!$E$30:$E$234,Summary!$H$30:$H$234, "Not Found")</f>
        <v>Lifecycle &amp; Orchestration Loop</v>
      </c>
      <c r="C80" s="2" t="s">
        <v>32</v>
      </c>
    </row>
    <row r="81">
      <c r="A81" s="86">
        <v>2007.0</v>
      </c>
      <c r="B81" s="15" t="str">
        <f t="array" ref="B81">_xlfn.XLOOKUP(A81, Summary!$E$30:$E$234,Summary!$H$30:$H$234, "Not Found")</f>
        <v>Observability &amp; Environment</v>
      </c>
      <c r="C81" s="2" t="s">
        <v>32</v>
      </c>
    </row>
    <row r="82">
      <c r="A82" s="2">
        <v>2055.0</v>
      </c>
      <c r="B82" s="15" t="str">
        <f t="array" ref="B82">_xlfn.XLOOKUP(A82, Summary!$E$30:$E$234,Summary!$H$30:$H$234, "Not Found")</f>
        <v>Observability &amp; Environment</v>
      </c>
      <c r="C82" s="2" t="s">
        <v>41</v>
      </c>
    </row>
    <row r="83">
      <c r="A83" s="86">
        <v>2089.0</v>
      </c>
      <c r="B83" s="15" t="str">
        <f t="array" ref="B83">_xlfn.XLOOKUP(A83, Summary!$E$30:$E$234,Summary!$H$30:$H$234, "Not Found")</f>
        <v>Lifecycle &amp; Orchestration Loop</v>
      </c>
      <c r="C83" s="2" t="s">
        <v>32</v>
      </c>
    </row>
    <row r="84">
      <c r="A84" s="2">
        <v>2090.0</v>
      </c>
      <c r="B84" s="15" t="str">
        <f t="array" ref="B84">_xlfn.XLOOKUP(A84, Summary!$E$30:$E$234,Summary!$H$30:$H$234, "Not Found")</f>
        <v>Tool Registry &amp; Action Interface</v>
      </c>
      <c r="C84" s="2" t="s">
        <v>32</v>
      </c>
    </row>
    <row r="85">
      <c r="A85" s="86">
        <v>2166.0</v>
      </c>
      <c r="B85" s="15" t="str">
        <f t="array" ref="B85">_xlfn.XLOOKUP(A85, Summary!$E$30:$E$234,Summary!$H$30:$H$234, "Not Found")</f>
        <v>Observability &amp; Environment</v>
      </c>
      <c r="C85" s="2" t="s">
        <v>32</v>
      </c>
    </row>
    <row r="86">
      <c r="A86" s="2">
        <v>2173.0</v>
      </c>
      <c r="B86" s="15" t="str">
        <f t="array" ref="B86">_xlfn.XLOOKUP(A86, Summary!$E$30:$E$234,Summary!$H$30:$H$234, "Not Found")</f>
        <v>Context &amp; Memory Management</v>
      </c>
      <c r="C86" s="2" t="s">
        <v>41</v>
      </c>
    </row>
    <row r="87">
      <c r="A87" s="2">
        <v>2207.0</v>
      </c>
      <c r="B87" s="15" t="str">
        <f t="array" ref="B87">_xlfn.XLOOKUP(A87, Summary!$E$30:$E$234,Summary!$H$30:$H$234, "Not Found")</f>
        <v>Tool Registry &amp; Action Interface</v>
      </c>
      <c r="C87" s="2" t="s">
        <v>41</v>
      </c>
    </row>
    <row r="88">
      <c r="A88" s="32">
        <v>2235.0</v>
      </c>
      <c r="B88" s="15" t="str">
        <f t="array" ref="B88">_xlfn.XLOOKUP(A88, Summary!$E$30:$E$234,Summary!$H$30:$H$234, "Not Found")</f>
        <v>Observability &amp; Environment</v>
      </c>
      <c r="C88" s="2" t="s">
        <v>32</v>
      </c>
    </row>
    <row r="89">
      <c r="A89" s="2">
        <v>2266.0</v>
      </c>
      <c r="B89" s="15" t="str">
        <f t="array" ref="B89">_xlfn.XLOOKUP(A89, Summary!$E$30:$E$234,Summary!$H$30:$H$234, "Not Found")</f>
        <v>Lifecycle &amp; Orchestration Loop</v>
      </c>
      <c r="C89" s="2" t="s">
        <v>41</v>
      </c>
    </row>
    <row r="90">
      <c r="A90" s="2">
        <v>2330.0</v>
      </c>
      <c r="B90" s="15" t="str">
        <f t="array" ref="B90">_xlfn.XLOOKUP(A90, Summary!$E$30:$E$234,Summary!$H$30:$H$234, "Not Found")</f>
        <v>Tool Registry &amp; Action Interface</v>
      </c>
      <c r="C90" s="2" t="s">
        <v>41</v>
      </c>
    </row>
    <row r="91">
      <c r="A91" s="2">
        <v>2405.0</v>
      </c>
      <c r="B91" s="15" t="str">
        <f t="array" ref="B91">_xlfn.XLOOKUP(A91, Summary!$E$30:$E$234,Summary!$H$30:$H$234, "Not Found")</f>
        <v>Tool Registry &amp; Action Interface</v>
      </c>
      <c r="C91" s="2" t="s">
        <v>41</v>
      </c>
    </row>
    <row r="92">
      <c r="A92" s="2">
        <v>2561.0</v>
      </c>
      <c r="B92" s="15" t="str">
        <f t="array" ref="B92">_xlfn.XLOOKUP(A92, Summary!$E$30:$E$234,Summary!$H$30:$H$234, "Not Found")</f>
        <v>Tool Registry &amp; Action Interface</v>
      </c>
      <c r="C92" s="2" t="s">
        <v>32</v>
      </c>
    </row>
    <row r="93">
      <c r="A93" s="87">
        <v>2587.0</v>
      </c>
      <c r="B93" s="15" t="str">
        <f t="array" ref="B93">_xlfn.XLOOKUP(A93, Summary!$E$30:$E$234,Summary!$H$30:$H$234, "Not Found")</f>
        <v>Context &amp; Memory Management</v>
      </c>
      <c r="C93" s="2" t="s">
        <v>32</v>
      </c>
    </row>
    <row r="94">
      <c r="A94" s="32">
        <v>2635.0</v>
      </c>
      <c r="B94" s="15" t="str">
        <f t="array" ref="B94">_xlfn.XLOOKUP(A94, Summary!$E$30:$E$234,Summary!$H$30:$H$234, "Not Found")</f>
        <v>Context &amp; Memory Management</v>
      </c>
      <c r="C94" s="2" t="s">
        <v>32</v>
      </c>
    </row>
    <row r="95">
      <c r="A95" s="32">
        <v>2652.0</v>
      </c>
      <c r="B95" s="15" t="str">
        <f t="array" ref="B95">_xlfn.XLOOKUP(A95, Summary!$E$30:$E$234,Summary!$H$30:$H$234, "Not Found")</f>
        <v>Context &amp; Memory Management</v>
      </c>
      <c r="C95" s="2" t="s">
        <v>32</v>
      </c>
    </row>
    <row r="96">
      <c r="A96" s="2">
        <v>3422.0</v>
      </c>
      <c r="B96" s="15" t="str">
        <f t="array" ref="B96">_xlfn.XLOOKUP(A96, Summary!$E$30:$E$234,Summary!$H$30:$H$234, "Not Found")</f>
        <v>Lifecycle &amp; Orchestration Loop</v>
      </c>
      <c r="C96" s="2" t="s">
        <v>41</v>
      </c>
    </row>
    <row r="97">
      <c r="A97" s="2">
        <v>3493.0</v>
      </c>
      <c r="B97" s="15" t="str">
        <f t="array" ref="B97">_xlfn.XLOOKUP(A97, Summary!$E$30:$E$234,Summary!$H$30:$H$234, "Not Found")</f>
        <v>Tool Registry &amp; Action Interface</v>
      </c>
      <c r="C97" s="2" t="s">
        <v>41</v>
      </c>
    </row>
    <row r="98">
      <c r="A98" s="32">
        <v>3938.0</v>
      </c>
      <c r="B98" s="15" t="str">
        <f t="array" ref="B98">_xlfn.XLOOKUP(A98, Summary!$E$30:$E$234,Summary!$H$30:$H$234, "Not Found")</f>
        <v>Tool Registry &amp; Action Interface</v>
      </c>
      <c r="C98" s="2" t="s">
        <v>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8"/>
    <col customWidth="1" min="2" max="2" width="32.25"/>
    <col customWidth="1" min="3" max="3" width="66.0"/>
  </cols>
  <sheetData>
    <row r="2">
      <c r="A2" s="6" t="s">
        <v>13</v>
      </c>
      <c r="B2" s="6" t="s">
        <v>665</v>
      </c>
      <c r="C2" s="6" t="s">
        <v>408</v>
      </c>
    </row>
    <row r="3">
      <c r="A3" s="2">
        <v>1.0</v>
      </c>
      <c r="B3" s="7" t="s">
        <v>250</v>
      </c>
      <c r="C3" s="7" t="s">
        <v>411</v>
      </c>
    </row>
    <row r="4">
      <c r="A4" s="2">
        <v>2.0</v>
      </c>
      <c r="B4" s="7" t="s">
        <v>260</v>
      </c>
      <c r="C4" s="7" t="s">
        <v>413</v>
      </c>
    </row>
    <row r="5">
      <c r="A5" s="2">
        <v>3.0</v>
      </c>
      <c r="B5" s="7" t="s">
        <v>232</v>
      </c>
      <c r="C5" s="7" t="s">
        <v>416</v>
      </c>
    </row>
    <row r="6">
      <c r="A6" s="2">
        <v>4.0</v>
      </c>
      <c r="B6" s="7" t="s">
        <v>255</v>
      </c>
      <c r="C6" s="7" t="s">
        <v>728</v>
      </c>
    </row>
    <row r="7">
      <c r="A7" s="2">
        <v>5.0</v>
      </c>
      <c r="B7" s="7" t="s">
        <v>306</v>
      </c>
      <c r="C7" s="7" t="s">
        <v>418</v>
      </c>
    </row>
    <row r="8">
      <c r="B8" s="7"/>
      <c r="C8"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7.5"/>
    <col customWidth="1" min="2" max="2" width="17.88"/>
    <col customWidth="1" min="3" max="3" width="15.0"/>
    <col customWidth="1" min="4" max="4" width="13.13"/>
    <col customWidth="1" min="5" max="5" width="9.75"/>
    <col customWidth="1" min="6" max="6" width="14.75"/>
    <col customWidth="1" min="7" max="9" width="10.88"/>
    <col customWidth="1" min="10" max="12" width="11.5"/>
    <col customWidth="1" min="13" max="13" width="8.13"/>
    <col customWidth="1" min="14" max="16" width="11.13"/>
    <col customWidth="1" min="17" max="18" width="11.25"/>
    <col customWidth="1" min="19" max="19" width="12.0"/>
    <col customWidth="1" min="20" max="20" width="3.63"/>
    <col customWidth="1" min="27" max="27" width="4.38"/>
    <col customWidth="1" min="34" max="34" width="4.38"/>
  </cols>
  <sheetData>
    <row r="1">
      <c r="A1" s="6" t="s">
        <v>741</v>
      </c>
      <c r="C1" s="5"/>
      <c r="D1" s="5"/>
      <c r="E1" s="5"/>
      <c r="F1" s="5"/>
    </row>
    <row r="2">
      <c r="A2" s="6"/>
      <c r="B2" s="6"/>
      <c r="C2" s="6"/>
      <c r="D2" s="6"/>
      <c r="E2" s="6"/>
      <c r="F2" s="6"/>
      <c r="G2" s="88"/>
      <c r="H2" s="88"/>
      <c r="I2" s="88" t="s">
        <v>108</v>
      </c>
    </row>
    <row r="3" ht="22.5" customHeight="1">
      <c r="A3" s="89" t="s">
        <v>12</v>
      </c>
      <c r="B3" s="89" t="s">
        <v>97</v>
      </c>
      <c r="C3" s="89" t="s">
        <v>743</v>
      </c>
      <c r="D3" s="90" t="s">
        <v>744</v>
      </c>
      <c r="E3" s="89" t="s">
        <v>99</v>
      </c>
      <c r="F3" s="89" t="s">
        <v>100</v>
      </c>
      <c r="G3" s="90" t="s">
        <v>745</v>
      </c>
      <c r="H3" s="90" t="s">
        <v>746</v>
      </c>
      <c r="I3" s="89" t="s">
        <v>747</v>
      </c>
      <c r="J3" s="90" t="s">
        <v>748</v>
      </c>
      <c r="K3" s="90" t="s">
        <v>750</v>
      </c>
      <c r="L3" s="89" t="s">
        <v>751</v>
      </c>
      <c r="M3" s="91" t="s">
        <v>752</v>
      </c>
      <c r="N3" s="90" t="s">
        <v>753</v>
      </c>
      <c r="O3" s="90" t="s">
        <v>754</v>
      </c>
      <c r="P3" s="89" t="s">
        <v>755</v>
      </c>
      <c r="Q3" s="90" t="s">
        <v>756</v>
      </c>
      <c r="R3" s="90" t="s">
        <v>757</v>
      </c>
      <c r="S3" s="89" t="s">
        <v>758</v>
      </c>
      <c r="T3" s="91" t="s">
        <v>759</v>
      </c>
      <c r="U3" s="90" t="s">
        <v>760</v>
      </c>
      <c r="V3" s="90" t="s">
        <v>762</v>
      </c>
      <c r="W3" s="89" t="s">
        <v>763</v>
      </c>
      <c r="X3" s="90" t="s">
        <v>764</v>
      </c>
      <c r="Y3" s="90" t="s">
        <v>765</v>
      </c>
      <c r="Z3" s="89" t="s">
        <v>766</v>
      </c>
      <c r="AA3" s="91" t="s">
        <v>767</v>
      </c>
      <c r="AB3" s="90" t="s">
        <v>768</v>
      </c>
      <c r="AC3" s="90" t="s">
        <v>769</v>
      </c>
      <c r="AD3" s="89" t="s">
        <v>771</v>
      </c>
      <c r="AE3" s="90" t="s">
        <v>772</v>
      </c>
      <c r="AF3" s="90" t="s">
        <v>773</v>
      </c>
      <c r="AG3" s="89" t="s">
        <v>774</v>
      </c>
      <c r="AH3" s="91" t="s">
        <v>775</v>
      </c>
      <c r="AI3" s="96" t="s">
        <v>779</v>
      </c>
      <c r="AJ3" s="96" t="s">
        <v>781</v>
      </c>
      <c r="AK3" s="92" t="s">
        <v>103</v>
      </c>
      <c r="AL3" s="92" t="s">
        <v>24</v>
      </c>
    </row>
    <row r="4" ht="22.5" customHeight="1">
      <c r="A4" s="20">
        <v>1.0</v>
      </c>
      <c r="B4" s="20" t="s">
        <v>112</v>
      </c>
      <c r="C4" s="93" t="s">
        <v>114</v>
      </c>
      <c r="D4" s="20" t="s">
        <v>777</v>
      </c>
      <c r="E4" s="18">
        <v>650.0</v>
      </c>
      <c r="F4" s="20" t="s">
        <v>116</v>
      </c>
      <c r="G4" s="94">
        <v>1.0</v>
      </c>
      <c r="H4" s="94">
        <v>2.0</v>
      </c>
      <c r="I4" s="95">
        <f t="shared" ref="I4:I13" si="2">G4+H4</f>
        <v>3</v>
      </c>
      <c r="J4" s="94">
        <v>0.0</v>
      </c>
      <c r="K4" s="94">
        <v>1.0</v>
      </c>
      <c r="L4" s="95">
        <f t="shared" ref="L4:L13" si="3">J4+K4</f>
        <v>1</v>
      </c>
      <c r="M4" s="97"/>
      <c r="N4" s="94">
        <v>0.0</v>
      </c>
      <c r="O4" s="94">
        <v>0.0</v>
      </c>
      <c r="P4" s="95">
        <f t="shared" ref="P4:P13" si="4">N4+O4</f>
        <v>0</v>
      </c>
      <c r="Q4" s="98"/>
      <c r="R4" s="98"/>
      <c r="S4" s="95">
        <f t="shared" ref="S4:S13" si="5">Q4+R4</f>
        <v>0</v>
      </c>
      <c r="T4" s="97"/>
      <c r="U4" s="99">
        <v>0.0</v>
      </c>
      <c r="V4" s="99">
        <v>0.0</v>
      </c>
      <c r="W4" s="95">
        <f t="shared" ref="W4:W13" si="6">U4+V4</f>
        <v>0</v>
      </c>
      <c r="X4" s="100"/>
      <c r="Y4" s="100"/>
      <c r="Z4" s="95">
        <f t="shared" ref="Z4:Z13" si="7">X4+Y4</f>
        <v>0</v>
      </c>
      <c r="AA4" s="97"/>
      <c r="AB4" s="101"/>
      <c r="AC4" s="101"/>
      <c r="AD4" s="102">
        <f t="shared" ref="AD4:AD13" si="8">AB4+AC4</f>
        <v>0</v>
      </c>
      <c r="AE4" s="101"/>
      <c r="AF4" s="101"/>
      <c r="AG4" s="102">
        <f t="shared" ref="AG4:AG13" si="9">AE4+AF4</f>
        <v>0</v>
      </c>
      <c r="AH4" s="103"/>
      <c r="AI4" s="104">
        <f t="shared" ref="AI4:AK4" si="1">G4+N4+U4+AB4</f>
        <v>1</v>
      </c>
      <c r="AJ4" s="104">
        <f t="shared" si="1"/>
        <v>2</v>
      </c>
      <c r="AK4" s="104">
        <f t="shared" si="1"/>
        <v>3</v>
      </c>
      <c r="AL4" s="104">
        <f t="shared" ref="AL4:AL13" si="11">L4+S4+Z4+AG4</f>
        <v>1</v>
      </c>
    </row>
    <row r="5" ht="22.5" customHeight="1">
      <c r="A5" s="20">
        <v>2.0</v>
      </c>
      <c r="B5" s="20" t="s">
        <v>118</v>
      </c>
      <c r="C5" s="93" t="s">
        <v>119</v>
      </c>
      <c r="D5" s="20" t="s">
        <v>786</v>
      </c>
      <c r="E5" s="20" t="s">
        <v>121</v>
      </c>
      <c r="F5" s="20" t="s">
        <v>122</v>
      </c>
      <c r="G5" s="94">
        <v>0.0</v>
      </c>
      <c r="H5" s="94">
        <v>1.0</v>
      </c>
      <c r="I5" s="95">
        <f t="shared" si="2"/>
        <v>1</v>
      </c>
      <c r="J5" s="98"/>
      <c r="K5" s="98"/>
      <c r="L5" s="95">
        <f t="shared" si="3"/>
        <v>0</v>
      </c>
      <c r="M5" s="97"/>
      <c r="N5" s="94">
        <v>0.0</v>
      </c>
      <c r="O5" s="94">
        <v>0.0</v>
      </c>
      <c r="P5" s="95">
        <f t="shared" si="4"/>
        <v>0</v>
      </c>
      <c r="Q5" s="98"/>
      <c r="R5" s="98"/>
      <c r="S5" s="95">
        <f t="shared" si="5"/>
        <v>0</v>
      </c>
      <c r="T5" s="97"/>
      <c r="U5" s="99">
        <v>0.0</v>
      </c>
      <c r="V5" s="99">
        <v>0.0</v>
      </c>
      <c r="W5" s="95">
        <f t="shared" si="6"/>
        <v>0</v>
      </c>
      <c r="X5" s="100"/>
      <c r="Y5" s="100"/>
      <c r="Z5" s="95">
        <f t="shared" si="7"/>
        <v>0</v>
      </c>
      <c r="AA5" s="97"/>
      <c r="AB5" s="101"/>
      <c r="AC5" s="101"/>
      <c r="AD5" s="102">
        <f t="shared" si="8"/>
        <v>0</v>
      </c>
      <c r="AE5" s="101"/>
      <c r="AF5" s="101"/>
      <c r="AG5" s="102">
        <f t="shared" si="9"/>
        <v>0</v>
      </c>
      <c r="AH5" s="103"/>
      <c r="AI5" s="104">
        <f t="shared" ref="AI5:AK5" si="10">G5+N5+U5+AB5</f>
        <v>0</v>
      </c>
      <c r="AJ5" s="104">
        <f t="shared" si="10"/>
        <v>1</v>
      </c>
      <c r="AK5" s="104">
        <f t="shared" si="10"/>
        <v>1</v>
      </c>
      <c r="AL5" s="104">
        <f t="shared" si="11"/>
        <v>0</v>
      </c>
    </row>
    <row r="6" ht="22.5" customHeight="1">
      <c r="A6" s="20">
        <v>3.0</v>
      </c>
      <c r="B6" s="20" t="s">
        <v>123</v>
      </c>
      <c r="C6" s="93" t="s">
        <v>124</v>
      </c>
      <c r="D6" s="20" t="s">
        <v>777</v>
      </c>
      <c r="E6" s="20" t="s">
        <v>127</v>
      </c>
      <c r="F6" s="20" t="s">
        <v>116</v>
      </c>
      <c r="G6" s="105">
        <v>4.0</v>
      </c>
      <c r="H6" s="105">
        <v>8.0</v>
      </c>
      <c r="I6" s="95">
        <f t="shared" si="2"/>
        <v>12</v>
      </c>
      <c r="J6" s="94">
        <v>4.0</v>
      </c>
      <c r="K6" s="94">
        <v>3.0</v>
      </c>
      <c r="L6" s="95">
        <f t="shared" si="3"/>
        <v>7</v>
      </c>
      <c r="M6" s="106"/>
      <c r="N6" s="94">
        <v>2.0</v>
      </c>
      <c r="O6" s="94">
        <v>0.0</v>
      </c>
      <c r="P6" s="95">
        <f t="shared" si="4"/>
        <v>2</v>
      </c>
      <c r="Q6" s="94">
        <v>1.0</v>
      </c>
      <c r="R6" s="94">
        <v>0.0</v>
      </c>
      <c r="S6" s="95">
        <f t="shared" si="5"/>
        <v>1</v>
      </c>
      <c r="T6" s="106"/>
      <c r="U6" s="99">
        <v>4.0</v>
      </c>
      <c r="V6" s="99">
        <v>6.0</v>
      </c>
      <c r="W6" s="95">
        <f t="shared" si="6"/>
        <v>10</v>
      </c>
      <c r="X6" s="99">
        <v>4.0</v>
      </c>
      <c r="Y6" s="99">
        <v>2.0</v>
      </c>
      <c r="Z6" s="95">
        <f t="shared" si="7"/>
        <v>6</v>
      </c>
      <c r="AA6" s="106"/>
      <c r="AB6" s="107">
        <v>0.0</v>
      </c>
      <c r="AC6" s="107">
        <v>5.0</v>
      </c>
      <c r="AD6" s="102">
        <f t="shared" si="8"/>
        <v>5</v>
      </c>
      <c r="AE6" s="107">
        <v>0.0</v>
      </c>
      <c r="AF6" s="107">
        <v>1.0</v>
      </c>
      <c r="AG6" s="102">
        <f t="shared" si="9"/>
        <v>1</v>
      </c>
      <c r="AH6" s="103"/>
      <c r="AI6" s="104">
        <f t="shared" ref="AI6:AK6" si="12">G6+N6+U6+AB6</f>
        <v>10</v>
      </c>
      <c r="AJ6" s="104">
        <f t="shared" si="12"/>
        <v>19</v>
      </c>
      <c r="AK6" s="104">
        <f t="shared" si="12"/>
        <v>29</v>
      </c>
      <c r="AL6" s="104">
        <f t="shared" si="11"/>
        <v>15</v>
      </c>
    </row>
    <row r="7" ht="22.5" customHeight="1">
      <c r="A7" s="20">
        <v>4.0</v>
      </c>
      <c r="B7" s="20" t="s">
        <v>128</v>
      </c>
      <c r="C7" s="93" t="s">
        <v>129</v>
      </c>
      <c r="D7" s="20" t="s">
        <v>777</v>
      </c>
      <c r="E7" s="20" t="s">
        <v>132</v>
      </c>
      <c r="F7" s="20" t="s">
        <v>122</v>
      </c>
      <c r="G7" s="94">
        <v>2.0</v>
      </c>
      <c r="H7" s="94">
        <v>5.0</v>
      </c>
      <c r="I7" s="95">
        <f t="shared" si="2"/>
        <v>7</v>
      </c>
      <c r="J7" s="94">
        <v>1.0</v>
      </c>
      <c r="K7" s="94">
        <v>0.0</v>
      </c>
      <c r="L7" s="95">
        <f t="shared" si="3"/>
        <v>1</v>
      </c>
      <c r="M7" s="106"/>
      <c r="N7" s="94">
        <v>0.0</v>
      </c>
      <c r="O7" s="94">
        <v>0.0</v>
      </c>
      <c r="P7" s="95">
        <f t="shared" si="4"/>
        <v>0</v>
      </c>
      <c r="Q7" s="98"/>
      <c r="R7" s="98"/>
      <c r="S7" s="95">
        <f t="shared" si="5"/>
        <v>0</v>
      </c>
      <c r="T7" s="106"/>
      <c r="U7" s="99">
        <v>26.0</v>
      </c>
      <c r="V7" s="99">
        <v>0.0</v>
      </c>
      <c r="W7" s="95">
        <f t="shared" si="6"/>
        <v>26</v>
      </c>
      <c r="X7" s="99">
        <v>10.0</v>
      </c>
      <c r="Y7" s="99">
        <v>0.0</v>
      </c>
      <c r="Z7" s="95">
        <f t="shared" si="7"/>
        <v>10</v>
      </c>
      <c r="AA7" s="106"/>
      <c r="AB7" s="107">
        <v>0.0</v>
      </c>
      <c r="AC7" s="107">
        <v>16.0</v>
      </c>
      <c r="AD7" s="102">
        <f t="shared" si="8"/>
        <v>16</v>
      </c>
      <c r="AE7" s="107">
        <v>0.0</v>
      </c>
      <c r="AF7" s="107">
        <v>1.0</v>
      </c>
      <c r="AG7" s="102">
        <f t="shared" si="9"/>
        <v>1</v>
      </c>
      <c r="AH7" s="103"/>
      <c r="AI7" s="104">
        <f t="shared" ref="AI7:AK7" si="13">G7+N7+U7+AB7</f>
        <v>28</v>
      </c>
      <c r="AJ7" s="104">
        <f t="shared" si="13"/>
        <v>21</v>
      </c>
      <c r="AK7" s="104">
        <f t="shared" si="13"/>
        <v>49</v>
      </c>
      <c r="AL7" s="104">
        <f t="shared" si="11"/>
        <v>12</v>
      </c>
    </row>
    <row r="8" ht="22.5" customHeight="1">
      <c r="A8" s="20">
        <v>5.0</v>
      </c>
      <c r="B8" s="20" t="s">
        <v>134</v>
      </c>
      <c r="C8" s="93" t="s">
        <v>136</v>
      </c>
      <c r="D8" s="20" t="s">
        <v>777</v>
      </c>
      <c r="E8" s="20" t="s">
        <v>137</v>
      </c>
      <c r="F8" s="20" t="s">
        <v>116</v>
      </c>
      <c r="G8" s="94">
        <v>1.0</v>
      </c>
      <c r="H8" s="94">
        <v>0.0</v>
      </c>
      <c r="I8" s="95">
        <f t="shared" si="2"/>
        <v>1</v>
      </c>
      <c r="J8" s="94">
        <v>1.0</v>
      </c>
      <c r="K8" s="94">
        <v>0.0</v>
      </c>
      <c r="L8" s="95">
        <f t="shared" si="3"/>
        <v>1</v>
      </c>
      <c r="M8" s="97"/>
      <c r="N8" s="94">
        <v>0.0</v>
      </c>
      <c r="O8" s="94">
        <v>0.0</v>
      </c>
      <c r="P8" s="95">
        <f t="shared" si="4"/>
        <v>0</v>
      </c>
      <c r="Q8" s="98"/>
      <c r="R8" s="98"/>
      <c r="S8" s="95">
        <f t="shared" si="5"/>
        <v>0</v>
      </c>
      <c r="T8" s="97"/>
      <c r="U8" s="99">
        <v>0.0</v>
      </c>
      <c r="V8" s="99">
        <v>0.0</v>
      </c>
      <c r="W8" s="95">
        <f t="shared" si="6"/>
        <v>0</v>
      </c>
      <c r="X8" s="100"/>
      <c r="Y8" s="100"/>
      <c r="Z8" s="95">
        <f t="shared" si="7"/>
        <v>0</v>
      </c>
      <c r="AA8" s="97"/>
      <c r="AB8" s="101"/>
      <c r="AC8" s="101"/>
      <c r="AD8" s="102">
        <f t="shared" si="8"/>
        <v>0</v>
      </c>
      <c r="AE8" s="101"/>
      <c r="AF8" s="101"/>
      <c r="AG8" s="102">
        <f t="shared" si="9"/>
        <v>0</v>
      </c>
      <c r="AH8" s="103"/>
      <c r="AI8" s="104">
        <f t="shared" ref="AI8:AK8" si="14">G8+N8+U8+AB8</f>
        <v>1</v>
      </c>
      <c r="AJ8" s="104">
        <f t="shared" si="14"/>
        <v>0</v>
      </c>
      <c r="AK8" s="104">
        <f t="shared" si="14"/>
        <v>1</v>
      </c>
      <c r="AL8" s="104">
        <f t="shared" si="11"/>
        <v>1</v>
      </c>
    </row>
    <row r="9" ht="22.5" customHeight="1">
      <c r="A9" s="20">
        <v>6.0</v>
      </c>
      <c r="B9" s="20" t="s">
        <v>139</v>
      </c>
      <c r="C9" s="93" t="s">
        <v>140</v>
      </c>
      <c r="D9" s="20" t="s">
        <v>786</v>
      </c>
      <c r="E9" s="20" t="s">
        <v>127</v>
      </c>
      <c r="F9" s="20" t="s">
        <v>116</v>
      </c>
      <c r="G9" s="94">
        <v>0.0</v>
      </c>
      <c r="H9" s="94">
        <v>2.0</v>
      </c>
      <c r="I9" s="95">
        <f t="shared" si="2"/>
        <v>2</v>
      </c>
      <c r="J9" s="98"/>
      <c r="K9" s="98"/>
      <c r="L9" s="95">
        <f t="shared" si="3"/>
        <v>0</v>
      </c>
      <c r="M9" s="97"/>
      <c r="N9" s="94">
        <v>0.0</v>
      </c>
      <c r="O9" s="94">
        <v>0.0</v>
      </c>
      <c r="P9" s="95">
        <f t="shared" si="4"/>
        <v>0</v>
      </c>
      <c r="Q9" s="98"/>
      <c r="R9" s="98"/>
      <c r="S9" s="95">
        <f t="shared" si="5"/>
        <v>0</v>
      </c>
      <c r="T9" s="97"/>
      <c r="U9" s="99">
        <v>0.0</v>
      </c>
      <c r="V9" s="99">
        <v>0.0</v>
      </c>
      <c r="W9" s="95">
        <f t="shared" si="6"/>
        <v>0</v>
      </c>
      <c r="X9" s="100"/>
      <c r="Y9" s="100"/>
      <c r="Z9" s="95">
        <f t="shared" si="7"/>
        <v>0</v>
      </c>
      <c r="AA9" s="97"/>
      <c r="AB9" s="107">
        <v>0.0</v>
      </c>
      <c r="AC9" s="107">
        <v>1.0</v>
      </c>
      <c r="AD9" s="102">
        <f t="shared" si="8"/>
        <v>1</v>
      </c>
      <c r="AE9" s="101"/>
      <c r="AF9" s="101"/>
      <c r="AG9" s="102">
        <f t="shared" si="9"/>
        <v>0</v>
      </c>
      <c r="AH9" s="103"/>
      <c r="AI9" s="104">
        <f t="shared" ref="AI9:AK9" si="15">G9+N9+U9+AB9</f>
        <v>0</v>
      </c>
      <c r="AJ9" s="104">
        <f t="shared" si="15"/>
        <v>3</v>
      </c>
      <c r="AK9" s="104">
        <f t="shared" si="15"/>
        <v>3</v>
      </c>
      <c r="AL9" s="104">
        <f t="shared" si="11"/>
        <v>0</v>
      </c>
    </row>
    <row r="10" ht="22.5" customHeight="1">
      <c r="A10" s="20">
        <v>7.0</v>
      </c>
      <c r="B10" s="20" t="s">
        <v>144</v>
      </c>
      <c r="C10" s="93" t="s">
        <v>145</v>
      </c>
      <c r="D10" s="20" t="s">
        <v>777</v>
      </c>
      <c r="E10" s="20" t="s">
        <v>147</v>
      </c>
      <c r="F10" s="20" t="s">
        <v>122</v>
      </c>
      <c r="G10" s="108">
        <v>11.0</v>
      </c>
      <c r="H10" s="108">
        <v>2.0</v>
      </c>
      <c r="I10" s="95">
        <f t="shared" si="2"/>
        <v>13</v>
      </c>
      <c r="J10" s="98"/>
      <c r="K10" s="98"/>
      <c r="L10" s="95">
        <f t="shared" si="3"/>
        <v>0</v>
      </c>
      <c r="M10" s="97"/>
      <c r="N10" s="94">
        <v>0.0</v>
      </c>
      <c r="O10" s="94">
        <v>0.0</v>
      </c>
      <c r="P10" s="95">
        <f t="shared" si="4"/>
        <v>0</v>
      </c>
      <c r="Q10" s="98"/>
      <c r="R10" s="98"/>
      <c r="S10" s="95">
        <f t="shared" si="5"/>
        <v>0</v>
      </c>
      <c r="T10" s="97"/>
      <c r="U10" s="99">
        <v>0.0</v>
      </c>
      <c r="V10" s="99">
        <v>0.0</v>
      </c>
      <c r="W10" s="95">
        <f t="shared" si="6"/>
        <v>0</v>
      </c>
      <c r="X10" s="100"/>
      <c r="Y10" s="100"/>
      <c r="Z10" s="95">
        <f t="shared" si="7"/>
        <v>0</v>
      </c>
      <c r="AA10" s="97"/>
      <c r="AB10" s="101"/>
      <c r="AC10" s="101"/>
      <c r="AD10" s="102">
        <f t="shared" si="8"/>
        <v>0</v>
      </c>
      <c r="AE10" s="101"/>
      <c r="AF10" s="101"/>
      <c r="AG10" s="102">
        <f t="shared" si="9"/>
        <v>0</v>
      </c>
      <c r="AH10" s="103"/>
      <c r="AI10" s="104">
        <f t="shared" ref="AI10:AK10" si="16">G10+N10+U10+AB10</f>
        <v>11</v>
      </c>
      <c r="AJ10" s="104">
        <f t="shared" si="16"/>
        <v>2</v>
      </c>
      <c r="AK10" s="104">
        <f t="shared" si="16"/>
        <v>13</v>
      </c>
      <c r="AL10" s="104">
        <f t="shared" si="11"/>
        <v>0</v>
      </c>
    </row>
    <row r="11" ht="22.5" customHeight="1">
      <c r="A11" s="20">
        <v>8.0</v>
      </c>
      <c r="B11" s="20" t="s">
        <v>148</v>
      </c>
      <c r="C11" s="93" t="s">
        <v>149</v>
      </c>
      <c r="D11" s="20" t="s">
        <v>777</v>
      </c>
      <c r="E11" s="20" t="s">
        <v>151</v>
      </c>
      <c r="F11" s="20" t="s">
        <v>122</v>
      </c>
      <c r="G11" s="94">
        <v>0.0</v>
      </c>
      <c r="H11" s="94">
        <v>0.0</v>
      </c>
      <c r="I11" s="95">
        <f t="shared" si="2"/>
        <v>0</v>
      </c>
      <c r="J11" s="98"/>
      <c r="K11" s="98"/>
      <c r="L11" s="95">
        <f t="shared" si="3"/>
        <v>0</v>
      </c>
      <c r="M11" s="106"/>
      <c r="N11" s="94">
        <v>9.0</v>
      </c>
      <c r="O11" s="94">
        <v>2.0</v>
      </c>
      <c r="P11" s="95">
        <f t="shared" si="4"/>
        <v>11</v>
      </c>
      <c r="Q11" s="98"/>
      <c r="R11" s="98"/>
      <c r="S11" s="95">
        <f t="shared" si="5"/>
        <v>0</v>
      </c>
      <c r="T11" s="106"/>
      <c r="U11" s="99">
        <v>0.0</v>
      </c>
      <c r="V11" s="99">
        <v>0.0</v>
      </c>
      <c r="W11" s="95">
        <f t="shared" si="6"/>
        <v>0</v>
      </c>
      <c r="X11" s="100"/>
      <c r="Y11" s="100"/>
      <c r="Z11" s="95">
        <f t="shared" si="7"/>
        <v>0</v>
      </c>
      <c r="AA11" s="106"/>
      <c r="AB11" s="101"/>
      <c r="AC11" s="101"/>
      <c r="AD11" s="102">
        <f t="shared" si="8"/>
        <v>0</v>
      </c>
      <c r="AE11" s="101"/>
      <c r="AF11" s="101"/>
      <c r="AG11" s="102">
        <f t="shared" si="9"/>
        <v>0</v>
      </c>
      <c r="AH11" s="103"/>
      <c r="AI11" s="104">
        <f t="shared" ref="AI11:AK11" si="17">G11+N11+U11+AB11</f>
        <v>9</v>
      </c>
      <c r="AJ11" s="104">
        <f t="shared" si="17"/>
        <v>2</v>
      </c>
      <c r="AK11" s="104">
        <f t="shared" si="17"/>
        <v>11</v>
      </c>
      <c r="AL11" s="104">
        <f t="shared" si="11"/>
        <v>0</v>
      </c>
    </row>
    <row r="12" ht="22.5" customHeight="1">
      <c r="A12" s="20">
        <v>9.0</v>
      </c>
      <c r="B12" s="20" t="s">
        <v>154</v>
      </c>
      <c r="C12" s="93" t="s">
        <v>155</v>
      </c>
      <c r="D12" s="20" t="s">
        <v>777</v>
      </c>
      <c r="E12" s="20" t="s">
        <v>159</v>
      </c>
      <c r="F12" s="20" t="s">
        <v>122</v>
      </c>
      <c r="G12" s="94">
        <v>1.0</v>
      </c>
      <c r="H12" s="94">
        <v>0.0</v>
      </c>
      <c r="I12" s="95">
        <f t="shared" si="2"/>
        <v>1</v>
      </c>
      <c r="J12" s="98"/>
      <c r="K12" s="98"/>
      <c r="L12" s="95">
        <f t="shared" si="3"/>
        <v>0</v>
      </c>
      <c r="M12" s="106"/>
      <c r="N12" s="94">
        <v>6.0</v>
      </c>
      <c r="O12" s="94">
        <v>5.0</v>
      </c>
      <c r="P12" s="95">
        <f t="shared" si="4"/>
        <v>11</v>
      </c>
      <c r="Q12" s="98"/>
      <c r="R12" s="98"/>
      <c r="S12" s="95">
        <f t="shared" si="5"/>
        <v>0</v>
      </c>
      <c r="T12" s="106"/>
      <c r="U12" s="99">
        <v>0.0</v>
      </c>
      <c r="V12" s="99">
        <v>0.0</v>
      </c>
      <c r="W12" s="95">
        <f t="shared" si="6"/>
        <v>0</v>
      </c>
      <c r="X12" s="100"/>
      <c r="Y12" s="100"/>
      <c r="Z12" s="95">
        <f t="shared" si="7"/>
        <v>0</v>
      </c>
      <c r="AA12" s="106"/>
      <c r="AB12" s="101"/>
      <c r="AC12" s="101"/>
      <c r="AD12" s="102">
        <f t="shared" si="8"/>
        <v>0</v>
      </c>
      <c r="AE12" s="101"/>
      <c r="AF12" s="101"/>
      <c r="AG12" s="102">
        <f t="shared" si="9"/>
        <v>0</v>
      </c>
      <c r="AH12" s="103"/>
      <c r="AI12" s="104">
        <f t="shared" ref="AI12:AK12" si="18">G12+N12+U12+AB12</f>
        <v>7</v>
      </c>
      <c r="AJ12" s="104">
        <f t="shared" si="18"/>
        <v>5</v>
      </c>
      <c r="AK12" s="104">
        <f t="shared" si="18"/>
        <v>12</v>
      </c>
      <c r="AL12" s="104">
        <f t="shared" si="11"/>
        <v>0</v>
      </c>
    </row>
    <row r="13" ht="22.5" customHeight="1">
      <c r="A13" s="20">
        <v>10.0</v>
      </c>
      <c r="B13" s="20" t="s">
        <v>161</v>
      </c>
      <c r="C13" s="93" t="s">
        <v>162</v>
      </c>
      <c r="D13" s="20" t="s">
        <v>851</v>
      </c>
      <c r="E13" s="20" t="s">
        <v>165</v>
      </c>
      <c r="F13" s="20" t="s">
        <v>116</v>
      </c>
      <c r="G13" s="94">
        <v>0.0</v>
      </c>
      <c r="H13" s="94">
        <v>0.0</v>
      </c>
      <c r="I13" s="95">
        <f t="shared" si="2"/>
        <v>0</v>
      </c>
      <c r="J13" s="98"/>
      <c r="K13" s="98"/>
      <c r="L13" s="95">
        <f t="shared" si="3"/>
        <v>0</v>
      </c>
      <c r="M13" s="106"/>
      <c r="N13" s="94">
        <v>11.0</v>
      </c>
      <c r="O13" s="94">
        <v>0.0</v>
      </c>
      <c r="P13" s="95">
        <f t="shared" si="4"/>
        <v>11</v>
      </c>
      <c r="Q13" s="98"/>
      <c r="R13" s="98"/>
      <c r="S13" s="95">
        <f t="shared" si="5"/>
        <v>0</v>
      </c>
      <c r="T13" s="106"/>
      <c r="U13" s="99">
        <v>0.0</v>
      </c>
      <c r="V13" s="99">
        <v>0.0</v>
      </c>
      <c r="W13" s="95">
        <f t="shared" si="6"/>
        <v>0</v>
      </c>
      <c r="X13" s="100"/>
      <c r="Y13" s="100"/>
      <c r="Z13" s="95">
        <f t="shared" si="7"/>
        <v>0</v>
      </c>
      <c r="AA13" s="106"/>
      <c r="AB13" s="101"/>
      <c r="AC13" s="101"/>
      <c r="AD13" s="102">
        <f t="shared" si="8"/>
        <v>0</v>
      </c>
      <c r="AE13" s="101"/>
      <c r="AF13" s="101"/>
      <c r="AG13" s="102">
        <f t="shared" si="9"/>
        <v>0</v>
      </c>
      <c r="AH13" s="103"/>
      <c r="AI13" s="104">
        <f t="shared" ref="AI13:AK13" si="19">G13+N13+U13+AB13</f>
        <v>11</v>
      </c>
      <c r="AJ13" s="104">
        <f t="shared" si="19"/>
        <v>0</v>
      </c>
      <c r="AK13" s="104">
        <f t="shared" si="19"/>
        <v>11</v>
      </c>
      <c r="AL13" s="104">
        <f t="shared" si="11"/>
        <v>0</v>
      </c>
    </row>
    <row r="14" ht="22.5" customHeight="1">
      <c r="A14" s="109"/>
      <c r="B14" s="110" t="s">
        <v>252</v>
      </c>
      <c r="C14" s="109"/>
      <c r="D14" s="109"/>
      <c r="E14" s="109"/>
      <c r="F14" s="109"/>
      <c r="G14" s="111">
        <f t="shared" ref="G14:L14" si="20">SUM(G4:G13)</f>
        <v>20</v>
      </c>
      <c r="H14" s="111">
        <f t="shared" si="20"/>
        <v>20</v>
      </c>
      <c r="I14" s="111">
        <f t="shared" si="20"/>
        <v>40</v>
      </c>
      <c r="J14" s="111">
        <f t="shared" si="20"/>
        <v>6</v>
      </c>
      <c r="K14" s="111">
        <f t="shared" si="20"/>
        <v>4</v>
      </c>
      <c r="L14" s="111">
        <f t="shared" si="20"/>
        <v>10</v>
      </c>
      <c r="M14" s="97"/>
      <c r="N14" s="111">
        <f t="shared" ref="N14:S14" si="21">SUM(N4:N13)</f>
        <v>28</v>
      </c>
      <c r="O14" s="111">
        <f t="shared" si="21"/>
        <v>7</v>
      </c>
      <c r="P14" s="111">
        <f t="shared" si="21"/>
        <v>35</v>
      </c>
      <c r="Q14" s="111">
        <f t="shared" si="21"/>
        <v>1</v>
      </c>
      <c r="R14" s="111">
        <f t="shared" si="21"/>
        <v>0</v>
      </c>
      <c r="S14" s="111">
        <f t="shared" si="21"/>
        <v>1</v>
      </c>
      <c r="T14" s="97"/>
      <c r="U14" s="111">
        <f t="shared" ref="U14:Z14" si="22">SUM(U4:U13)</f>
        <v>30</v>
      </c>
      <c r="V14" s="111">
        <f t="shared" si="22"/>
        <v>6</v>
      </c>
      <c r="W14" s="111">
        <f t="shared" si="22"/>
        <v>36</v>
      </c>
      <c r="X14" s="111">
        <f t="shared" si="22"/>
        <v>14</v>
      </c>
      <c r="Y14" s="111">
        <f t="shared" si="22"/>
        <v>2</v>
      </c>
      <c r="Z14" s="111">
        <f t="shared" si="22"/>
        <v>16</v>
      </c>
      <c r="AA14" s="97"/>
      <c r="AB14" s="111">
        <f t="shared" ref="AB14:AG14" si="23">SUM(AB4:AB13)</f>
        <v>0</v>
      </c>
      <c r="AC14" s="111">
        <f t="shared" si="23"/>
        <v>22</v>
      </c>
      <c r="AD14" s="111">
        <f t="shared" si="23"/>
        <v>22</v>
      </c>
      <c r="AE14" s="111">
        <f t="shared" si="23"/>
        <v>0</v>
      </c>
      <c r="AF14" s="111">
        <f t="shared" si="23"/>
        <v>2</v>
      </c>
      <c r="AG14" s="111">
        <f t="shared" si="23"/>
        <v>2</v>
      </c>
      <c r="AH14" s="97"/>
      <c r="AI14" s="112">
        <f t="shared" ref="AI14:AJ14" si="24">G14+N14+U14+AB14</f>
        <v>78</v>
      </c>
      <c r="AJ14" s="112">
        <f t="shared" si="24"/>
        <v>55</v>
      </c>
      <c r="AK14" s="112">
        <f t="shared" ref="AK14:AL14" si="25">SUM(AK4:AK13)</f>
        <v>133</v>
      </c>
      <c r="AL14" s="112">
        <f t="shared" si="25"/>
        <v>29</v>
      </c>
    </row>
    <row r="15">
      <c r="A15" s="5"/>
    </row>
    <row r="16">
      <c r="A16" s="6"/>
    </row>
    <row r="17">
      <c r="A17" s="6" t="s">
        <v>873</v>
      </c>
    </row>
    <row r="18">
      <c r="A18" s="6"/>
      <c r="C18" s="6"/>
      <c r="D18" s="6"/>
      <c r="E18" s="6"/>
      <c r="F18" s="6"/>
      <c r="G18" s="88"/>
      <c r="H18" s="88"/>
      <c r="I18" s="88" t="s">
        <v>108</v>
      </c>
    </row>
    <row r="19" ht="22.5" customHeight="1">
      <c r="A19" s="89" t="s">
        <v>12</v>
      </c>
      <c r="B19" s="89" t="s">
        <v>97</v>
      </c>
      <c r="C19" s="89" t="s">
        <v>743</v>
      </c>
      <c r="D19" s="90" t="s">
        <v>744</v>
      </c>
      <c r="E19" s="89" t="s">
        <v>99</v>
      </c>
      <c r="F19" s="89" t="s">
        <v>100</v>
      </c>
      <c r="G19" s="90" t="s">
        <v>745</v>
      </c>
      <c r="H19" s="90" t="s">
        <v>746</v>
      </c>
      <c r="I19" s="89" t="s">
        <v>747</v>
      </c>
      <c r="J19" s="90" t="s">
        <v>876</v>
      </c>
      <c r="K19" s="90" t="s">
        <v>877</v>
      </c>
      <c r="L19" s="89" t="s">
        <v>751</v>
      </c>
      <c r="M19" s="91" t="s">
        <v>752</v>
      </c>
      <c r="N19" s="90" t="s">
        <v>753</v>
      </c>
      <c r="O19" s="90" t="s">
        <v>754</v>
      </c>
      <c r="P19" s="89" t="s">
        <v>755</v>
      </c>
      <c r="Q19" s="90" t="s">
        <v>756</v>
      </c>
      <c r="R19" s="90" t="s">
        <v>757</v>
      </c>
      <c r="S19" s="89" t="s">
        <v>758</v>
      </c>
      <c r="T19" s="91" t="s">
        <v>759</v>
      </c>
      <c r="U19" s="90" t="s">
        <v>760</v>
      </c>
      <c r="V19" s="90" t="s">
        <v>762</v>
      </c>
      <c r="W19" s="89" t="s">
        <v>763</v>
      </c>
      <c r="X19" s="90" t="s">
        <v>764</v>
      </c>
      <c r="Y19" s="90" t="s">
        <v>765</v>
      </c>
      <c r="Z19" s="89" t="s">
        <v>766</v>
      </c>
      <c r="AA19" s="91" t="s">
        <v>767</v>
      </c>
      <c r="AB19" s="90" t="s">
        <v>768</v>
      </c>
      <c r="AC19" s="90" t="s">
        <v>769</v>
      </c>
      <c r="AD19" s="89" t="s">
        <v>771</v>
      </c>
      <c r="AE19" s="90" t="s">
        <v>772</v>
      </c>
      <c r="AF19" s="90" t="s">
        <v>773</v>
      </c>
      <c r="AG19" s="89" t="s">
        <v>774</v>
      </c>
      <c r="AH19" s="91" t="s">
        <v>775</v>
      </c>
      <c r="AI19" s="96" t="s">
        <v>779</v>
      </c>
      <c r="AJ19" s="96" t="s">
        <v>781</v>
      </c>
      <c r="AK19" s="92" t="s">
        <v>103</v>
      </c>
      <c r="AL19" s="92" t="s">
        <v>24</v>
      </c>
    </row>
    <row r="20" ht="22.5" customHeight="1">
      <c r="A20" s="20">
        <v>1.0</v>
      </c>
      <c r="B20" s="20" t="s">
        <v>167</v>
      </c>
      <c r="C20" s="93" t="s">
        <v>168</v>
      </c>
      <c r="D20" s="20" t="s">
        <v>777</v>
      </c>
      <c r="E20" s="20" t="s">
        <v>171</v>
      </c>
      <c r="F20" s="20" t="s">
        <v>172</v>
      </c>
      <c r="G20" s="94">
        <v>4.0</v>
      </c>
      <c r="H20" s="94">
        <v>1.0</v>
      </c>
      <c r="I20" s="95">
        <f t="shared" ref="I20:I29" si="27">G20+H20</f>
        <v>5</v>
      </c>
      <c r="J20" s="98"/>
      <c r="K20" s="98"/>
      <c r="L20" s="111">
        <f t="shared" ref="L20:L29" si="28">J20+K20</f>
        <v>0</v>
      </c>
      <c r="M20" s="97"/>
      <c r="N20" s="94">
        <v>0.0</v>
      </c>
      <c r="O20" s="94">
        <v>0.0</v>
      </c>
      <c r="P20" s="111">
        <f t="shared" ref="P20:P29" si="29">N20+O20</f>
        <v>0</v>
      </c>
      <c r="Q20" s="98"/>
      <c r="R20" s="98"/>
      <c r="S20" s="98"/>
      <c r="T20" s="97"/>
      <c r="U20" s="99">
        <v>6.0</v>
      </c>
      <c r="V20" s="99">
        <v>2.0</v>
      </c>
      <c r="W20" s="95">
        <f t="shared" ref="W20:W29" si="30">U20+V20</f>
        <v>8</v>
      </c>
      <c r="X20" s="100"/>
      <c r="Y20" s="100"/>
      <c r="Z20" s="111">
        <f t="shared" ref="Z20:Z29" si="31">X20+Y20</f>
        <v>0</v>
      </c>
      <c r="AA20" s="97"/>
      <c r="AB20" s="113"/>
      <c r="AC20" s="113"/>
      <c r="AD20" s="111">
        <f t="shared" ref="AD20:AD29" si="32">AB20+AC20</f>
        <v>0</v>
      </c>
      <c r="AE20" s="113"/>
      <c r="AF20" s="113"/>
      <c r="AG20" s="111">
        <f t="shared" ref="AG20:AG29" si="33">AE20+AF20</f>
        <v>0</v>
      </c>
      <c r="AH20" s="97"/>
      <c r="AI20" s="112">
        <f t="shared" ref="AI20:AK20" si="26">G20+N20+U20+AB20</f>
        <v>10</v>
      </c>
      <c r="AJ20" s="112">
        <f t="shared" si="26"/>
        <v>3</v>
      </c>
      <c r="AK20" s="112">
        <f t="shared" si="26"/>
        <v>13</v>
      </c>
      <c r="AL20" s="112">
        <f t="shared" ref="AL20:AL29" si="35">L20+S20+Z20+AG20</f>
        <v>0</v>
      </c>
    </row>
    <row r="21" ht="22.5" customHeight="1">
      <c r="A21" s="20">
        <v>2.0</v>
      </c>
      <c r="B21" s="20" t="s">
        <v>174</v>
      </c>
      <c r="C21" s="93" t="s">
        <v>175</v>
      </c>
      <c r="D21" s="20" t="s">
        <v>777</v>
      </c>
      <c r="E21" s="20" t="s">
        <v>180</v>
      </c>
      <c r="F21" s="20" t="s">
        <v>122</v>
      </c>
      <c r="G21" s="105">
        <v>0.0</v>
      </c>
      <c r="H21" s="105">
        <v>9.0</v>
      </c>
      <c r="I21" s="95">
        <f t="shared" si="27"/>
        <v>9</v>
      </c>
      <c r="J21" s="94">
        <v>0.0</v>
      </c>
      <c r="K21" s="94">
        <v>2.0</v>
      </c>
      <c r="L21" s="111">
        <f t="shared" si="28"/>
        <v>2</v>
      </c>
      <c r="M21" s="106"/>
      <c r="N21" s="94">
        <v>0.0</v>
      </c>
      <c r="O21" s="94">
        <v>8.0</v>
      </c>
      <c r="P21" s="111">
        <f t="shared" si="29"/>
        <v>8</v>
      </c>
      <c r="Q21" s="94">
        <v>0.0</v>
      </c>
      <c r="R21" s="94">
        <v>3.0</v>
      </c>
      <c r="S21" s="94">
        <v>3.0</v>
      </c>
      <c r="T21" s="97"/>
      <c r="U21" s="99">
        <v>0.0</v>
      </c>
      <c r="V21" s="99">
        <v>1.0</v>
      </c>
      <c r="W21" s="95">
        <f t="shared" si="30"/>
        <v>1</v>
      </c>
      <c r="X21" s="99">
        <v>0.0</v>
      </c>
      <c r="Y21" s="99">
        <v>1.0</v>
      </c>
      <c r="Z21" s="111">
        <f t="shared" si="31"/>
        <v>1</v>
      </c>
      <c r="AA21" s="97"/>
      <c r="AB21" s="107">
        <v>0.0</v>
      </c>
      <c r="AC21" s="107">
        <v>3.0</v>
      </c>
      <c r="AD21" s="111">
        <f t="shared" si="32"/>
        <v>3</v>
      </c>
      <c r="AE21" s="107">
        <v>0.0</v>
      </c>
      <c r="AF21" s="107">
        <v>0.0</v>
      </c>
      <c r="AG21" s="111">
        <f t="shared" si="33"/>
        <v>0</v>
      </c>
      <c r="AH21" s="97"/>
      <c r="AI21" s="112">
        <f t="shared" ref="AI21:AK21" si="34">G21+N21+U21+AB21</f>
        <v>0</v>
      </c>
      <c r="AJ21" s="112">
        <f t="shared" si="34"/>
        <v>21</v>
      </c>
      <c r="AK21" s="112">
        <f t="shared" si="34"/>
        <v>21</v>
      </c>
      <c r="AL21" s="112">
        <f t="shared" si="35"/>
        <v>6</v>
      </c>
    </row>
    <row r="22" ht="22.5" customHeight="1">
      <c r="A22" s="20">
        <v>3.0</v>
      </c>
      <c r="B22" s="20" t="s">
        <v>181</v>
      </c>
      <c r="C22" s="93" t="s">
        <v>183</v>
      </c>
      <c r="D22" s="20" t="s">
        <v>777</v>
      </c>
      <c r="E22" s="18">
        <v>100.0</v>
      </c>
      <c r="F22" s="20" t="s">
        <v>116</v>
      </c>
      <c r="G22" s="105">
        <v>0.0</v>
      </c>
      <c r="H22" s="105">
        <v>2.0</v>
      </c>
      <c r="I22" s="95">
        <f t="shared" si="27"/>
        <v>2</v>
      </c>
      <c r="J22" s="98"/>
      <c r="K22" s="98"/>
      <c r="L22" s="111">
        <f t="shared" si="28"/>
        <v>0</v>
      </c>
      <c r="M22" s="106"/>
      <c r="N22" s="94">
        <v>0.0</v>
      </c>
      <c r="O22" s="94">
        <v>0.0</v>
      </c>
      <c r="P22" s="111">
        <f t="shared" si="29"/>
        <v>0</v>
      </c>
      <c r="Q22" s="98"/>
      <c r="R22" s="98"/>
      <c r="S22" s="98"/>
      <c r="T22" s="106"/>
      <c r="U22" s="99">
        <v>0.0</v>
      </c>
      <c r="V22" s="99">
        <v>0.0</v>
      </c>
      <c r="W22" s="95">
        <f t="shared" si="30"/>
        <v>0</v>
      </c>
      <c r="X22" s="100"/>
      <c r="Y22" s="100"/>
      <c r="Z22" s="111">
        <f t="shared" si="31"/>
        <v>0</v>
      </c>
      <c r="AA22" s="106"/>
      <c r="AB22" s="113"/>
      <c r="AC22" s="113"/>
      <c r="AD22" s="111">
        <f t="shared" si="32"/>
        <v>0</v>
      </c>
      <c r="AE22" s="113"/>
      <c r="AF22" s="113"/>
      <c r="AG22" s="111">
        <f t="shared" si="33"/>
        <v>0</v>
      </c>
      <c r="AH22" s="97"/>
      <c r="AI22" s="112">
        <f t="shared" ref="AI22:AK22" si="36">G22+N22+U22+AB22</f>
        <v>0</v>
      </c>
      <c r="AJ22" s="112">
        <f t="shared" si="36"/>
        <v>2</v>
      </c>
      <c r="AK22" s="112">
        <f t="shared" si="36"/>
        <v>2</v>
      </c>
      <c r="AL22" s="112">
        <f t="shared" si="35"/>
        <v>0</v>
      </c>
    </row>
    <row r="23" ht="22.5" customHeight="1">
      <c r="A23" s="20">
        <v>4.0</v>
      </c>
      <c r="B23" s="20" t="s">
        <v>187</v>
      </c>
      <c r="C23" s="93" t="s">
        <v>188</v>
      </c>
      <c r="D23" s="20" t="s">
        <v>777</v>
      </c>
      <c r="E23" s="20" t="s">
        <v>190</v>
      </c>
      <c r="F23" s="20" t="s">
        <v>191</v>
      </c>
      <c r="G23" s="105">
        <v>0.0</v>
      </c>
      <c r="H23" s="105">
        <v>1.0</v>
      </c>
      <c r="I23" s="95">
        <f t="shared" si="27"/>
        <v>1</v>
      </c>
      <c r="J23" s="98"/>
      <c r="K23" s="98"/>
      <c r="L23" s="111">
        <f t="shared" si="28"/>
        <v>0</v>
      </c>
      <c r="M23" s="97"/>
      <c r="N23" s="94">
        <v>0.0</v>
      </c>
      <c r="O23" s="94">
        <v>0.0</v>
      </c>
      <c r="P23" s="111">
        <f t="shared" si="29"/>
        <v>0</v>
      </c>
      <c r="Q23" s="98"/>
      <c r="R23" s="98"/>
      <c r="S23" s="98"/>
      <c r="T23" s="106"/>
      <c r="U23" s="99">
        <v>0.0</v>
      </c>
      <c r="V23" s="99">
        <v>0.0</v>
      </c>
      <c r="W23" s="95">
        <f t="shared" si="30"/>
        <v>0</v>
      </c>
      <c r="X23" s="100"/>
      <c r="Y23" s="100"/>
      <c r="Z23" s="111">
        <f t="shared" si="31"/>
        <v>0</v>
      </c>
      <c r="AA23" s="106"/>
      <c r="AB23" s="113"/>
      <c r="AC23" s="113"/>
      <c r="AD23" s="111">
        <f t="shared" si="32"/>
        <v>0</v>
      </c>
      <c r="AE23" s="113"/>
      <c r="AF23" s="113"/>
      <c r="AG23" s="111">
        <f t="shared" si="33"/>
        <v>0</v>
      </c>
      <c r="AH23" s="97"/>
      <c r="AI23" s="112">
        <f t="shared" ref="AI23:AK23" si="37">G23+N23+U23+AB23</f>
        <v>0</v>
      </c>
      <c r="AJ23" s="112">
        <f t="shared" si="37"/>
        <v>1</v>
      </c>
      <c r="AK23" s="112">
        <f t="shared" si="37"/>
        <v>1</v>
      </c>
      <c r="AL23" s="112">
        <f t="shared" si="35"/>
        <v>0</v>
      </c>
    </row>
    <row r="24" ht="22.5" customHeight="1">
      <c r="A24" s="20">
        <v>5.0</v>
      </c>
      <c r="B24" s="20" t="s">
        <v>193</v>
      </c>
      <c r="C24" s="93" t="s">
        <v>194</v>
      </c>
      <c r="D24" s="20" t="s">
        <v>777</v>
      </c>
      <c r="E24" s="20" t="s">
        <v>196</v>
      </c>
      <c r="F24" s="20" t="s">
        <v>198</v>
      </c>
      <c r="G24" s="105">
        <v>1.0</v>
      </c>
      <c r="H24" s="105">
        <v>4.0</v>
      </c>
      <c r="I24" s="95">
        <f t="shared" si="27"/>
        <v>5</v>
      </c>
      <c r="J24" s="98"/>
      <c r="K24" s="98"/>
      <c r="L24" s="111">
        <f t="shared" si="28"/>
        <v>0</v>
      </c>
      <c r="M24" s="97"/>
      <c r="N24" s="94">
        <v>0.0</v>
      </c>
      <c r="O24" s="94">
        <v>0.0</v>
      </c>
      <c r="P24" s="111">
        <f t="shared" si="29"/>
        <v>0</v>
      </c>
      <c r="Q24" s="98"/>
      <c r="R24" s="98"/>
      <c r="S24" s="98"/>
      <c r="T24" s="97"/>
      <c r="U24" s="99">
        <v>0.0</v>
      </c>
      <c r="V24" s="99">
        <v>0.0</v>
      </c>
      <c r="W24" s="95">
        <f t="shared" si="30"/>
        <v>0</v>
      </c>
      <c r="X24" s="100"/>
      <c r="Y24" s="100"/>
      <c r="Z24" s="111">
        <f t="shared" si="31"/>
        <v>0</v>
      </c>
      <c r="AA24" s="97"/>
      <c r="AB24" s="113"/>
      <c r="AC24" s="113"/>
      <c r="AD24" s="111">
        <f t="shared" si="32"/>
        <v>0</v>
      </c>
      <c r="AE24" s="113"/>
      <c r="AF24" s="113"/>
      <c r="AG24" s="111">
        <f t="shared" si="33"/>
        <v>0</v>
      </c>
      <c r="AH24" s="97"/>
      <c r="AI24" s="112">
        <f t="shared" ref="AI24:AK24" si="38">G24+N24+U24+AB24</f>
        <v>1</v>
      </c>
      <c r="AJ24" s="112">
        <f t="shared" si="38"/>
        <v>4</v>
      </c>
      <c r="AK24" s="112">
        <f t="shared" si="38"/>
        <v>5</v>
      </c>
      <c r="AL24" s="112">
        <f t="shared" si="35"/>
        <v>0</v>
      </c>
    </row>
    <row r="25" ht="22.5" customHeight="1">
      <c r="A25" s="20">
        <v>6.0</v>
      </c>
      <c r="B25" s="20" t="s">
        <v>199</v>
      </c>
      <c r="C25" s="93" t="s">
        <v>200</v>
      </c>
      <c r="D25" s="20" t="s">
        <v>777</v>
      </c>
      <c r="E25" s="20" t="s">
        <v>203</v>
      </c>
      <c r="F25" s="20" t="s">
        <v>116</v>
      </c>
      <c r="G25" s="105">
        <v>1.0</v>
      </c>
      <c r="H25" s="105">
        <v>6.0</v>
      </c>
      <c r="I25" s="95">
        <f t="shared" si="27"/>
        <v>7</v>
      </c>
      <c r="J25" s="94">
        <v>1.0</v>
      </c>
      <c r="K25" s="94">
        <v>4.0</v>
      </c>
      <c r="L25" s="111">
        <f t="shared" si="28"/>
        <v>5</v>
      </c>
      <c r="M25" s="97"/>
      <c r="N25" s="94">
        <v>0.0</v>
      </c>
      <c r="O25" s="94">
        <v>0.0</v>
      </c>
      <c r="P25" s="111">
        <f t="shared" si="29"/>
        <v>0</v>
      </c>
      <c r="Q25" s="98"/>
      <c r="R25" s="98"/>
      <c r="S25" s="98"/>
      <c r="T25" s="97"/>
      <c r="U25" s="99">
        <v>0.0</v>
      </c>
      <c r="V25" s="99">
        <v>0.0</v>
      </c>
      <c r="W25" s="95">
        <f t="shared" si="30"/>
        <v>0</v>
      </c>
      <c r="X25" s="100"/>
      <c r="Y25" s="100"/>
      <c r="Z25" s="111">
        <f t="shared" si="31"/>
        <v>0</v>
      </c>
      <c r="AA25" s="97"/>
      <c r="AB25" s="113"/>
      <c r="AC25" s="113"/>
      <c r="AD25" s="111">
        <f t="shared" si="32"/>
        <v>0</v>
      </c>
      <c r="AE25" s="113"/>
      <c r="AF25" s="113"/>
      <c r="AG25" s="111">
        <f t="shared" si="33"/>
        <v>0</v>
      </c>
      <c r="AH25" s="97"/>
      <c r="AI25" s="112">
        <f t="shared" ref="AI25:AK25" si="39">G25+N25+U25+AB25</f>
        <v>1</v>
      </c>
      <c r="AJ25" s="112">
        <f t="shared" si="39"/>
        <v>6</v>
      </c>
      <c r="AK25" s="112">
        <f t="shared" si="39"/>
        <v>7</v>
      </c>
      <c r="AL25" s="112">
        <f t="shared" si="35"/>
        <v>5</v>
      </c>
    </row>
    <row r="26" ht="22.5" customHeight="1">
      <c r="A26" s="20">
        <v>7.0</v>
      </c>
      <c r="B26" s="20" t="s">
        <v>205</v>
      </c>
      <c r="C26" s="93" t="s">
        <v>207</v>
      </c>
      <c r="D26" s="20" t="s">
        <v>777</v>
      </c>
      <c r="E26" s="20" t="s">
        <v>208</v>
      </c>
      <c r="F26" s="20" t="s">
        <v>116</v>
      </c>
      <c r="G26" s="105">
        <v>0.0</v>
      </c>
      <c r="H26" s="105">
        <v>4.0</v>
      </c>
      <c r="I26" s="95">
        <f t="shared" si="27"/>
        <v>4</v>
      </c>
      <c r="J26" s="98"/>
      <c r="K26" s="98"/>
      <c r="L26" s="111">
        <f t="shared" si="28"/>
        <v>0</v>
      </c>
      <c r="M26" s="106"/>
      <c r="N26" s="94">
        <v>0.0</v>
      </c>
      <c r="O26" s="94">
        <v>1.0</v>
      </c>
      <c r="P26" s="111">
        <f t="shared" si="29"/>
        <v>1</v>
      </c>
      <c r="Q26" s="98"/>
      <c r="R26" s="98"/>
      <c r="S26" s="98"/>
      <c r="T26" s="97"/>
      <c r="U26" s="99">
        <v>0.0</v>
      </c>
      <c r="V26" s="99">
        <v>0.0</v>
      </c>
      <c r="W26" s="95">
        <f t="shared" si="30"/>
        <v>0</v>
      </c>
      <c r="X26" s="100"/>
      <c r="Y26" s="100"/>
      <c r="Z26" s="111">
        <f t="shared" si="31"/>
        <v>0</v>
      </c>
      <c r="AA26" s="97"/>
      <c r="AB26" s="113"/>
      <c r="AC26" s="113"/>
      <c r="AD26" s="111">
        <f t="shared" si="32"/>
        <v>0</v>
      </c>
      <c r="AE26" s="113"/>
      <c r="AF26" s="113"/>
      <c r="AG26" s="111">
        <f t="shared" si="33"/>
        <v>0</v>
      </c>
      <c r="AH26" s="97"/>
      <c r="AI26" s="112">
        <f t="shared" ref="AI26:AK26" si="40">G26+N26+U26+AB26</f>
        <v>0</v>
      </c>
      <c r="AJ26" s="112">
        <f t="shared" si="40"/>
        <v>5</v>
      </c>
      <c r="AK26" s="112">
        <f t="shared" si="40"/>
        <v>5</v>
      </c>
      <c r="AL26" s="112">
        <f t="shared" si="35"/>
        <v>0</v>
      </c>
    </row>
    <row r="27" ht="22.5" customHeight="1">
      <c r="A27" s="20">
        <v>8.0</v>
      </c>
      <c r="B27" s="20" t="s">
        <v>209</v>
      </c>
      <c r="C27" s="93" t="s">
        <v>210</v>
      </c>
      <c r="D27" s="20" t="s">
        <v>777</v>
      </c>
      <c r="E27" s="20" t="s">
        <v>219</v>
      </c>
      <c r="F27" s="20" t="s">
        <v>122</v>
      </c>
      <c r="G27" s="105">
        <v>4.0</v>
      </c>
      <c r="H27" s="105">
        <v>3.0</v>
      </c>
      <c r="I27" s="95">
        <f t="shared" si="27"/>
        <v>7</v>
      </c>
      <c r="J27" s="94">
        <v>2.0</v>
      </c>
      <c r="K27" s="94">
        <v>0.0</v>
      </c>
      <c r="L27" s="111">
        <f t="shared" si="28"/>
        <v>2</v>
      </c>
      <c r="M27" s="106"/>
      <c r="N27" s="94">
        <v>4.0</v>
      </c>
      <c r="O27" s="94">
        <v>3.0</v>
      </c>
      <c r="P27" s="111">
        <f t="shared" si="29"/>
        <v>7</v>
      </c>
      <c r="Q27" s="98"/>
      <c r="R27" s="98"/>
      <c r="S27" s="98"/>
      <c r="T27" s="106"/>
      <c r="U27" s="99">
        <v>1.0</v>
      </c>
      <c r="V27" s="99">
        <v>4.0</v>
      </c>
      <c r="W27" s="95">
        <f t="shared" si="30"/>
        <v>5</v>
      </c>
      <c r="X27" s="99">
        <v>0.0</v>
      </c>
      <c r="Y27" s="99">
        <v>3.0</v>
      </c>
      <c r="Z27" s="111">
        <f t="shared" si="31"/>
        <v>3</v>
      </c>
      <c r="AA27" s="106"/>
      <c r="AB27" s="113"/>
      <c r="AC27" s="113"/>
      <c r="AD27" s="111">
        <f t="shared" si="32"/>
        <v>0</v>
      </c>
      <c r="AE27" s="113"/>
      <c r="AF27" s="113"/>
      <c r="AG27" s="111">
        <f t="shared" si="33"/>
        <v>0</v>
      </c>
      <c r="AH27" s="97"/>
      <c r="AI27" s="112">
        <f t="shared" ref="AI27:AK27" si="41">G27+N27+U27+AB27</f>
        <v>9</v>
      </c>
      <c r="AJ27" s="112">
        <f t="shared" si="41"/>
        <v>10</v>
      </c>
      <c r="AK27" s="112">
        <f t="shared" si="41"/>
        <v>19</v>
      </c>
      <c r="AL27" s="112">
        <f t="shared" si="35"/>
        <v>5</v>
      </c>
    </row>
    <row r="28" ht="22.5" customHeight="1">
      <c r="A28" s="20">
        <v>9.0</v>
      </c>
      <c r="B28" s="20" t="s">
        <v>225</v>
      </c>
      <c r="C28" s="93" t="s">
        <v>227</v>
      </c>
      <c r="D28" s="20" t="s">
        <v>777</v>
      </c>
      <c r="E28" s="20" t="s">
        <v>165</v>
      </c>
      <c r="F28" s="20" t="s">
        <v>116</v>
      </c>
      <c r="G28" s="94">
        <v>0.0</v>
      </c>
      <c r="H28" s="94">
        <v>0.0</v>
      </c>
      <c r="I28" s="95">
        <f t="shared" si="27"/>
        <v>0</v>
      </c>
      <c r="J28" s="98"/>
      <c r="K28" s="98"/>
      <c r="L28" s="111">
        <f t="shared" si="28"/>
        <v>0</v>
      </c>
      <c r="M28" s="106"/>
      <c r="N28" s="94">
        <v>0.0</v>
      </c>
      <c r="O28" s="94">
        <v>12.0</v>
      </c>
      <c r="P28" s="111">
        <f t="shared" si="29"/>
        <v>12</v>
      </c>
      <c r="Q28" s="98"/>
      <c r="R28" s="98"/>
      <c r="S28" s="98"/>
      <c r="T28" s="106"/>
      <c r="U28" s="99">
        <v>0.0</v>
      </c>
      <c r="V28" s="99">
        <v>0.0</v>
      </c>
      <c r="W28" s="95">
        <f t="shared" si="30"/>
        <v>0</v>
      </c>
      <c r="X28" s="100"/>
      <c r="Y28" s="100"/>
      <c r="Z28" s="111">
        <f t="shared" si="31"/>
        <v>0</v>
      </c>
      <c r="AA28" s="106"/>
      <c r="AB28" s="113"/>
      <c r="AC28" s="113"/>
      <c r="AD28" s="111">
        <f t="shared" si="32"/>
        <v>0</v>
      </c>
      <c r="AE28" s="113"/>
      <c r="AF28" s="113"/>
      <c r="AG28" s="111">
        <f t="shared" si="33"/>
        <v>0</v>
      </c>
      <c r="AH28" s="97"/>
      <c r="AI28" s="112">
        <f t="shared" ref="AI28:AK28" si="42">G28+N28+U28+AB28</f>
        <v>0</v>
      </c>
      <c r="AJ28" s="112">
        <f t="shared" si="42"/>
        <v>12</v>
      </c>
      <c r="AK28" s="112">
        <f t="shared" si="42"/>
        <v>12</v>
      </c>
      <c r="AL28" s="112">
        <f t="shared" si="35"/>
        <v>0</v>
      </c>
    </row>
    <row r="29" ht="22.5" customHeight="1">
      <c r="A29" s="20">
        <v>10.0</v>
      </c>
      <c r="B29" s="20" t="s">
        <v>236</v>
      </c>
      <c r="C29" s="93" t="s">
        <v>237</v>
      </c>
      <c r="D29" s="18" t="s">
        <v>786</v>
      </c>
      <c r="E29" s="18" t="s">
        <v>245</v>
      </c>
      <c r="F29" s="20" t="s">
        <v>116</v>
      </c>
      <c r="G29" s="94">
        <v>0.0</v>
      </c>
      <c r="H29" s="94">
        <v>0.0</v>
      </c>
      <c r="I29" s="95">
        <f t="shared" si="27"/>
        <v>0</v>
      </c>
      <c r="J29" s="98"/>
      <c r="K29" s="98"/>
      <c r="L29" s="111">
        <f t="shared" si="28"/>
        <v>0</v>
      </c>
      <c r="M29" s="106"/>
      <c r="N29" s="94">
        <v>7.0</v>
      </c>
      <c r="O29" s="94">
        <v>0.0</v>
      </c>
      <c r="P29" s="111">
        <f t="shared" si="29"/>
        <v>7</v>
      </c>
      <c r="Q29" s="98"/>
      <c r="R29" s="98"/>
      <c r="S29" s="98"/>
      <c r="T29" s="106"/>
      <c r="U29" s="99">
        <v>0.0</v>
      </c>
      <c r="V29" s="99">
        <v>0.0</v>
      </c>
      <c r="W29" s="95">
        <f t="shared" si="30"/>
        <v>0</v>
      </c>
      <c r="X29" s="100"/>
      <c r="Y29" s="100"/>
      <c r="Z29" s="111">
        <f t="shared" si="31"/>
        <v>0</v>
      </c>
      <c r="AA29" s="106"/>
      <c r="AB29" s="113"/>
      <c r="AC29" s="113"/>
      <c r="AD29" s="111">
        <f t="shared" si="32"/>
        <v>0</v>
      </c>
      <c r="AE29" s="113"/>
      <c r="AF29" s="113"/>
      <c r="AG29" s="111">
        <f t="shared" si="33"/>
        <v>0</v>
      </c>
      <c r="AH29" s="97"/>
      <c r="AI29" s="112">
        <f t="shared" ref="AI29:AK29" si="43">G29+N29+U29+AB29</f>
        <v>7</v>
      </c>
      <c r="AJ29" s="112">
        <f t="shared" si="43"/>
        <v>0</v>
      </c>
      <c r="AK29" s="112">
        <f t="shared" si="43"/>
        <v>7</v>
      </c>
      <c r="AL29" s="112">
        <f t="shared" si="35"/>
        <v>0</v>
      </c>
    </row>
    <row r="30" ht="22.5" customHeight="1">
      <c r="A30" s="21"/>
      <c r="B30" s="115" t="s">
        <v>252</v>
      </c>
      <c r="C30" s="21"/>
      <c r="D30" s="21"/>
      <c r="E30" s="21"/>
      <c r="F30" s="21"/>
      <c r="G30" s="94">
        <f t="shared" ref="G30:H30" si="44">G29+G28+G27+G26+G25+G24+G23+G22+G21+G20</f>
        <v>10</v>
      </c>
      <c r="H30" s="94">
        <f t="shared" si="44"/>
        <v>30</v>
      </c>
      <c r="I30" s="98">
        <f t="shared" ref="I30:L30" si="45">SUM(I20:I29)</f>
        <v>40</v>
      </c>
      <c r="J30" s="98">
        <f t="shared" si="45"/>
        <v>3</v>
      </c>
      <c r="K30" s="98">
        <f t="shared" si="45"/>
        <v>6</v>
      </c>
      <c r="L30" s="98">
        <f t="shared" si="45"/>
        <v>9</v>
      </c>
      <c r="M30" s="97"/>
      <c r="N30" s="98">
        <f>SUM(AGENT_APPLICATIONS[Total Issues with In-Patch (on 70)])</f>
        <v>11</v>
      </c>
      <c r="O30" s="98">
        <f>SUM(AGENT_APPLICATIONS[Total Issues without In-Patch (on 70)])</f>
        <v>24</v>
      </c>
      <c r="P30" s="98">
        <f t="shared" ref="P30:S30" si="46">SUM(P20:P29)</f>
        <v>35</v>
      </c>
      <c r="Q30" s="98">
        <f t="shared" si="46"/>
        <v>0</v>
      </c>
      <c r="R30" s="98">
        <f t="shared" si="46"/>
        <v>3</v>
      </c>
      <c r="S30" s="98">
        <f t="shared" si="46"/>
        <v>3</v>
      </c>
      <c r="T30" s="97"/>
      <c r="U30" s="98">
        <f t="shared" ref="U30:Z30" si="47">SUM(U20:U29)</f>
        <v>7</v>
      </c>
      <c r="V30" s="98">
        <f t="shared" si="47"/>
        <v>7</v>
      </c>
      <c r="W30" s="98">
        <f t="shared" si="47"/>
        <v>14</v>
      </c>
      <c r="X30" s="98">
        <f t="shared" si="47"/>
        <v>0</v>
      </c>
      <c r="Y30" s="98">
        <f t="shared" si="47"/>
        <v>4</v>
      </c>
      <c r="Z30" s="98">
        <f t="shared" si="47"/>
        <v>4</v>
      </c>
      <c r="AA30" s="97"/>
      <c r="AB30" s="100">
        <f>SUM(AGENT_APPLICATIONS[Total Issues with In-Patch (on 25)])</f>
        <v>0</v>
      </c>
      <c r="AC30" s="100">
        <f>SUM(AGENT_APPLICATIONS[Total Issues without In-Patch (on 25)])</f>
        <v>3</v>
      </c>
      <c r="AD30" s="100">
        <f>SUM(AGENT_APPLICATIONS[Total Issues (on 25)])</f>
        <v>3</v>
      </c>
      <c r="AE30" s="99" t="s">
        <v>911</v>
      </c>
      <c r="AF30" s="99" t="s">
        <v>911</v>
      </c>
      <c r="AG30" s="99" t="s">
        <v>911</v>
      </c>
      <c r="AH30" s="103"/>
      <c r="AI30" s="104"/>
      <c r="AJ30" s="104"/>
      <c r="AK30" s="104">
        <f>SUM(AGENT_APPLICATIONS[Total Issues])</f>
        <v>92</v>
      </c>
      <c r="AL30" s="104">
        <f>SUM(AGENT_APPLICATIONS[Total F2P])</f>
        <v>16</v>
      </c>
    </row>
    <row r="33">
      <c r="A33" s="6" t="s">
        <v>912</v>
      </c>
    </row>
    <row r="35" ht="22.5" customHeight="1">
      <c r="A35" s="89" t="s">
        <v>12</v>
      </c>
      <c r="B35" s="89" t="s">
        <v>913</v>
      </c>
      <c r="C35" s="89" t="s">
        <v>914</v>
      </c>
      <c r="D35" s="89" t="s">
        <v>915</v>
      </c>
      <c r="E35" s="89" t="s">
        <v>916</v>
      </c>
      <c r="F35" s="89" t="s">
        <v>917</v>
      </c>
      <c r="G35" s="116" t="s">
        <v>24</v>
      </c>
      <c r="H35" s="117" t="s">
        <v>918</v>
      </c>
      <c r="I35" s="117" t="s">
        <v>919</v>
      </c>
    </row>
    <row r="36" ht="22.5" customHeight="1">
      <c r="A36" s="118">
        <v>1.0</v>
      </c>
      <c r="B36" s="118" t="s">
        <v>920</v>
      </c>
      <c r="C36" s="119">
        <f t="shared" ref="C36:D36" si="48">G30+G14</f>
        <v>30</v>
      </c>
      <c r="D36" s="119">
        <f t="shared" si="48"/>
        <v>50</v>
      </c>
      <c r="E36" s="119">
        <f t="shared" ref="E36:G36" si="49">J30+J14</f>
        <v>9</v>
      </c>
      <c r="F36" s="119">
        <f t="shared" si="49"/>
        <v>10</v>
      </c>
      <c r="G36" s="119">
        <f t="shared" si="49"/>
        <v>19</v>
      </c>
      <c r="H36" s="120">
        <v>11.0</v>
      </c>
      <c r="I36" s="120">
        <v>4.0</v>
      </c>
    </row>
    <row r="37" ht="22.5" customHeight="1">
      <c r="A37" s="118">
        <v>2.0</v>
      </c>
      <c r="B37" s="118" t="s">
        <v>921</v>
      </c>
      <c r="C37" s="119">
        <f t="shared" ref="C37:D37" si="50">N30+N14</f>
        <v>39</v>
      </c>
      <c r="D37" s="119">
        <f t="shared" si="50"/>
        <v>31</v>
      </c>
      <c r="E37" s="119">
        <f t="shared" ref="E37:G37" si="51">Q30+Q14</f>
        <v>1</v>
      </c>
      <c r="F37" s="119">
        <f t="shared" si="51"/>
        <v>3</v>
      </c>
      <c r="G37" s="119">
        <f t="shared" si="51"/>
        <v>4</v>
      </c>
      <c r="H37" s="120">
        <v>0.0</v>
      </c>
      <c r="I37" s="120">
        <v>1.0</v>
      </c>
    </row>
    <row r="38" ht="22.5" customHeight="1">
      <c r="A38" s="118">
        <v>3.0</v>
      </c>
      <c r="B38" s="118" t="s">
        <v>922</v>
      </c>
      <c r="C38" s="119">
        <f t="shared" ref="C38:D38" si="52">U30+U14</f>
        <v>37</v>
      </c>
      <c r="D38" s="119">
        <f t="shared" si="52"/>
        <v>13</v>
      </c>
      <c r="E38" s="118">
        <f t="shared" ref="E38:G38" si="53">X30+X14</f>
        <v>14</v>
      </c>
      <c r="F38" s="119">
        <f t="shared" si="53"/>
        <v>6</v>
      </c>
      <c r="G38" s="119">
        <f t="shared" si="53"/>
        <v>20</v>
      </c>
      <c r="H38" s="120">
        <v>10.0</v>
      </c>
      <c r="I38" s="120">
        <v>1.0</v>
      </c>
    </row>
    <row r="39" ht="22.5" customHeight="1">
      <c r="A39" s="118">
        <v>4.0</v>
      </c>
      <c r="B39" s="118" t="s">
        <v>923</v>
      </c>
      <c r="C39" s="119">
        <f t="shared" ref="C39:D39" si="54">AB30+AB14</f>
        <v>0</v>
      </c>
      <c r="D39" s="118">
        <f t="shared" si="54"/>
        <v>25</v>
      </c>
      <c r="E39" s="118">
        <f t="shared" ref="E39:G39" si="55">AE30+AE14</f>
        <v>0</v>
      </c>
      <c r="F39" s="118">
        <f t="shared" si="55"/>
        <v>2</v>
      </c>
      <c r="G39" s="118">
        <f t="shared" si="55"/>
        <v>2</v>
      </c>
      <c r="H39" s="120">
        <v>0.0</v>
      </c>
      <c r="I39" s="120">
        <v>0.0</v>
      </c>
    </row>
    <row r="40" ht="22.5" customHeight="1">
      <c r="B40" s="121" t="s">
        <v>252</v>
      </c>
      <c r="C40" s="119">
        <f t="shared" ref="C40:I40" si="56">SUM(C36:C39)</f>
        <v>106</v>
      </c>
      <c r="D40" s="119">
        <f t="shared" si="56"/>
        <v>119</v>
      </c>
      <c r="E40" s="119">
        <f t="shared" si="56"/>
        <v>24</v>
      </c>
      <c r="F40" s="119">
        <f t="shared" si="56"/>
        <v>21</v>
      </c>
      <c r="G40" s="119">
        <f t="shared" si="56"/>
        <v>45</v>
      </c>
      <c r="H40" s="119">
        <f t="shared" si="56"/>
        <v>21</v>
      </c>
      <c r="I40" s="119">
        <f t="shared" si="56"/>
        <v>6</v>
      </c>
    </row>
    <row r="42">
      <c r="A42" s="6"/>
      <c r="B42" s="6"/>
    </row>
    <row r="43">
      <c r="A43" s="6"/>
      <c r="B43" s="6"/>
    </row>
    <row r="44">
      <c r="A44" s="6" t="s">
        <v>924</v>
      </c>
    </row>
    <row r="46" ht="22.5" customHeight="1">
      <c r="A46" s="89" t="s">
        <v>12</v>
      </c>
      <c r="B46" s="89" t="s">
        <v>913</v>
      </c>
      <c r="C46" s="89" t="s">
        <v>925</v>
      </c>
      <c r="D46" s="89" t="s">
        <v>926</v>
      </c>
      <c r="E46" s="89" t="s">
        <v>927</v>
      </c>
      <c r="F46" s="89" t="s">
        <v>928</v>
      </c>
      <c r="G46" s="89" t="s">
        <v>929</v>
      </c>
      <c r="H46" s="89" t="s">
        <v>930</v>
      </c>
    </row>
    <row r="47" ht="22.5" customHeight="1">
      <c r="A47" s="118">
        <v>1.0</v>
      </c>
      <c r="B47" s="118" t="s">
        <v>920</v>
      </c>
      <c r="C47" s="118">
        <v>73.0</v>
      </c>
      <c r="D47" s="118">
        <v>19.0</v>
      </c>
      <c r="E47" s="118">
        <v>7.0</v>
      </c>
      <c r="F47" s="118">
        <v>0.0</v>
      </c>
      <c r="G47" s="118">
        <v>0.0</v>
      </c>
      <c r="H47" s="118">
        <v>0.0</v>
      </c>
    </row>
    <row r="48" ht="22.5" customHeight="1">
      <c r="A48" s="118">
        <v>2.0</v>
      </c>
      <c r="B48" s="118" t="s">
        <v>921</v>
      </c>
      <c r="C48" s="118">
        <v>53.0</v>
      </c>
      <c r="D48" s="118">
        <v>4.0</v>
      </c>
      <c r="E48" s="118">
        <v>8.0</v>
      </c>
      <c r="F48" s="118">
        <v>0.0</v>
      </c>
      <c r="G48" s="118">
        <v>9.0</v>
      </c>
      <c r="H48" s="118">
        <v>0.0</v>
      </c>
    </row>
    <row r="49" ht="22.5" customHeight="1">
      <c r="A49" s="118">
        <v>3.0</v>
      </c>
      <c r="B49" s="118" t="s">
        <v>922</v>
      </c>
      <c r="C49" s="118">
        <v>50.0</v>
      </c>
      <c r="D49" s="118">
        <v>20.0</v>
      </c>
      <c r="E49" s="118">
        <v>0.0</v>
      </c>
      <c r="F49" s="118">
        <v>0.0</v>
      </c>
      <c r="G49" s="118">
        <v>0.0</v>
      </c>
      <c r="H49" s="118">
        <v>0.0</v>
      </c>
    </row>
    <row r="50" ht="22.5" customHeight="1">
      <c r="A50" s="118">
        <v>4.0</v>
      </c>
      <c r="B50" s="118" t="s">
        <v>923</v>
      </c>
      <c r="C50" s="118">
        <v>24.0</v>
      </c>
      <c r="D50" s="118">
        <v>2.0</v>
      </c>
      <c r="E50" s="118">
        <v>1.0</v>
      </c>
      <c r="F50" s="118">
        <v>0.0</v>
      </c>
      <c r="G50" s="118">
        <v>0.0</v>
      </c>
      <c r="H50" s="118">
        <v>0.0</v>
      </c>
    </row>
    <row r="51" ht="22.5" customHeight="1">
      <c r="A51" s="122"/>
      <c r="B51" s="123" t="s">
        <v>252</v>
      </c>
      <c r="C51" s="122">
        <f t="shared" ref="C51:H51" si="57">SUM(C47:C50)</f>
        <v>200</v>
      </c>
      <c r="D51" s="122">
        <f t="shared" si="57"/>
        <v>45</v>
      </c>
      <c r="E51" s="122">
        <f t="shared" si="57"/>
        <v>16</v>
      </c>
      <c r="F51" s="122">
        <f t="shared" si="57"/>
        <v>0</v>
      </c>
      <c r="G51" s="122">
        <f t="shared" si="57"/>
        <v>9</v>
      </c>
      <c r="H51" s="122">
        <f t="shared" si="57"/>
        <v>0</v>
      </c>
    </row>
    <row r="55" hidden="1">
      <c r="A55" s="2"/>
      <c r="B55" s="2"/>
      <c r="C55" s="13" t="s">
        <v>36</v>
      </c>
      <c r="O55" s="14" t="s">
        <v>38</v>
      </c>
      <c r="P55" s="2" t="s">
        <v>39</v>
      </c>
      <c r="Q55" s="14"/>
    </row>
    <row r="56" hidden="1">
      <c r="A56" s="7"/>
      <c r="B56" s="7"/>
      <c r="C56" s="7"/>
      <c r="D56" s="7"/>
      <c r="E56" s="7"/>
      <c r="F56" s="7"/>
      <c r="G56" s="7"/>
      <c r="H56" s="7"/>
      <c r="I56" s="7"/>
      <c r="J56" s="7"/>
      <c r="K56" s="7"/>
      <c r="L56" s="7"/>
      <c r="M56" s="7"/>
      <c r="N56" s="7"/>
      <c r="O56" s="10"/>
      <c r="P56" s="2" t="s">
        <v>44</v>
      </c>
    </row>
    <row r="57" ht="22.5" hidden="1" customHeight="1">
      <c r="A57" s="18" t="s">
        <v>12</v>
      </c>
      <c r="B57" s="18" t="s">
        <v>15</v>
      </c>
      <c r="C57" s="18" t="s">
        <v>16</v>
      </c>
      <c r="D57" s="18" t="s">
        <v>17</v>
      </c>
      <c r="E57" s="18" t="s">
        <v>18</v>
      </c>
      <c r="F57" s="18" t="s">
        <v>19</v>
      </c>
      <c r="G57" s="18" t="s">
        <v>20</v>
      </c>
      <c r="H57" s="18" t="s">
        <v>21</v>
      </c>
      <c r="I57" s="18" t="s">
        <v>22</v>
      </c>
      <c r="J57" s="18" t="s">
        <v>23</v>
      </c>
      <c r="K57" s="18" t="s">
        <v>24</v>
      </c>
      <c r="L57" s="18" t="s">
        <v>25</v>
      </c>
      <c r="M57" s="18" t="s">
        <v>26</v>
      </c>
      <c r="N57" s="18" t="s">
        <v>27</v>
      </c>
      <c r="O57" s="19" t="s">
        <v>28</v>
      </c>
      <c r="P57" s="19" t="s">
        <v>29</v>
      </c>
      <c r="Q57" s="19" t="s">
        <v>30</v>
      </c>
    </row>
    <row r="58" ht="22.5" hidden="1" customHeight="1">
      <c r="A58" s="20">
        <v>1.0</v>
      </c>
      <c r="B58" s="20" t="s">
        <v>31</v>
      </c>
      <c r="C58" s="21">
        <f t="shared" ref="C58:C59" si="59">3+0+0+0</f>
        <v>3</v>
      </c>
      <c r="D58" s="21">
        <f>6+3+4+0</f>
        <v>13</v>
      </c>
      <c r="E58" s="21">
        <f t="shared" ref="E58:E60" si="60">C58+D58</f>
        <v>16</v>
      </c>
      <c r="F58" s="21">
        <f>6+1+14+0</f>
        <v>21</v>
      </c>
      <c r="G58" s="21">
        <f>4+0+2+2</f>
        <v>8</v>
      </c>
      <c r="H58" s="21">
        <f t="shared" ref="H58:H60" si="61">F58+G58</f>
        <v>29</v>
      </c>
      <c r="I58" s="21">
        <f t="shared" ref="I58:J58" si="58">C58+F58</f>
        <v>24</v>
      </c>
      <c r="J58" s="21">
        <f t="shared" si="58"/>
        <v>21</v>
      </c>
      <c r="K58" s="21">
        <f t="shared" ref="K58:K60" si="63">I58+J58</f>
        <v>45</v>
      </c>
      <c r="L58" s="20" t="s">
        <v>40</v>
      </c>
      <c r="M58" s="23">
        <f>((P58/1000000)*0.4)+((Q58/1000000)*1.6)</f>
        <v>0.5595124</v>
      </c>
      <c r="N58" s="25">
        <f>P58+Q58</f>
        <v>1287247</v>
      </c>
      <c r="O58" s="26">
        <v>84.0</v>
      </c>
      <c r="P58" s="27">
        <v>1250069.0</v>
      </c>
      <c r="Q58" s="27">
        <v>37178.0</v>
      </c>
      <c r="S58" s="2" t="s">
        <v>73</v>
      </c>
    </row>
    <row r="59" ht="22.5" hidden="1" customHeight="1">
      <c r="A59" s="20">
        <v>2.0</v>
      </c>
      <c r="B59" s="20" t="s">
        <v>45</v>
      </c>
      <c r="C59" s="21">
        <f t="shared" si="59"/>
        <v>3</v>
      </c>
      <c r="D59" s="20">
        <v>0.0</v>
      </c>
      <c r="E59" s="21">
        <f t="shared" si="60"/>
        <v>3</v>
      </c>
      <c r="F59" s="21">
        <f>8+0+10+0</f>
        <v>18</v>
      </c>
      <c r="G59" s="20">
        <v>0.0</v>
      </c>
      <c r="H59" s="21">
        <f t="shared" si="61"/>
        <v>18</v>
      </c>
      <c r="I59" s="21">
        <f t="shared" ref="I59:J59" si="62">C59+F59</f>
        <v>21</v>
      </c>
      <c r="J59" s="21">
        <f t="shared" si="62"/>
        <v>0</v>
      </c>
      <c r="K59" s="21">
        <f t="shared" si="63"/>
        <v>21</v>
      </c>
      <c r="L59" s="20" t="s">
        <v>931</v>
      </c>
      <c r="M59" s="23"/>
      <c r="N59" s="21"/>
      <c r="O59" s="26">
        <v>36.0</v>
      </c>
      <c r="P59" s="124"/>
      <c r="Q59" s="124"/>
      <c r="S59" s="2" t="s">
        <v>932</v>
      </c>
    </row>
    <row r="60" ht="22.5" hidden="1" customHeight="1">
      <c r="A60" s="20">
        <v>3.0</v>
      </c>
      <c r="B60" s="20" t="s">
        <v>50</v>
      </c>
      <c r="C60" s="21">
        <f>1+0+0+0</f>
        <v>1</v>
      </c>
      <c r="D60" s="20">
        <v>0.0</v>
      </c>
      <c r="E60" s="21">
        <f t="shared" si="60"/>
        <v>1</v>
      </c>
      <c r="F60" s="21">
        <f>3+1+1+0</f>
        <v>5</v>
      </c>
      <c r="G60" s="20">
        <v>0.0</v>
      </c>
      <c r="H60" s="21">
        <f t="shared" si="61"/>
        <v>5</v>
      </c>
      <c r="I60" s="21">
        <f t="shared" ref="I60:J60" si="64">C60+F60</f>
        <v>6</v>
      </c>
      <c r="J60" s="21">
        <f t="shared" si="64"/>
        <v>0</v>
      </c>
      <c r="K60" s="21">
        <f t="shared" si="63"/>
        <v>6</v>
      </c>
      <c r="L60" s="20" t="s">
        <v>933</v>
      </c>
      <c r="M60" s="23"/>
      <c r="N60" s="21"/>
      <c r="O60" s="26">
        <v>33.0</v>
      </c>
      <c r="P60" s="124"/>
      <c r="Q60" s="124"/>
      <c r="S60" s="2" t="s">
        <v>932</v>
      </c>
    </row>
    <row r="61" hidden="1"/>
    <row r="62" hidden="1"/>
    <row r="63" hidden="1"/>
    <row r="64" hidden="1">
      <c r="A64" s="2"/>
      <c r="B64" s="2"/>
      <c r="C64" s="13" t="s">
        <v>104</v>
      </c>
      <c r="O64" s="2" t="s">
        <v>105</v>
      </c>
      <c r="P64" s="2" t="s">
        <v>107</v>
      </c>
    </row>
    <row r="65" hidden="1">
      <c r="A65" s="7"/>
      <c r="B65" s="7"/>
      <c r="C65" s="7"/>
      <c r="D65" s="7"/>
      <c r="E65" s="7"/>
      <c r="F65" s="7"/>
      <c r="G65" s="7"/>
      <c r="H65" s="7"/>
      <c r="I65" s="7"/>
      <c r="J65" s="7"/>
      <c r="K65" s="7"/>
      <c r="L65" s="7"/>
      <c r="M65" s="7"/>
      <c r="N65" s="7"/>
      <c r="P65" s="2" t="s">
        <v>111</v>
      </c>
    </row>
    <row r="66" ht="22.5" hidden="1" customHeight="1">
      <c r="A66" s="18" t="s">
        <v>12</v>
      </c>
      <c r="B66" s="18" t="s">
        <v>15</v>
      </c>
      <c r="C66" s="18" t="s">
        <v>16</v>
      </c>
      <c r="D66" s="18" t="s">
        <v>17</v>
      </c>
      <c r="E66" s="18" t="s">
        <v>18</v>
      </c>
      <c r="F66" s="18" t="s">
        <v>19</v>
      </c>
      <c r="G66" s="18" t="s">
        <v>20</v>
      </c>
      <c r="H66" s="18" t="s">
        <v>21</v>
      </c>
      <c r="I66" s="18" t="s">
        <v>22</v>
      </c>
      <c r="J66" s="18" t="s">
        <v>23</v>
      </c>
      <c r="K66" s="18" t="s">
        <v>24</v>
      </c>
      <c r="L66" s="18" t="s">
        <v>25</v>
      </c>
      <c r="M66" s="18" t="s">
        <v>26</v>
      </c>
      <c r="N66" s="18" t="s">
        <v>27</v>
      </c>
      <c r="O66" s="19" t="s">
        <v>28</v>
      </c>
      <c r="P66" s="19" t="s">
        <v>29</v>
      </c>
      <c r="Q66" s="19" t="s">
        <v>30</v>
      </c>
    </row>
    <row r="67" ht="22.5" hidden="1" customHeight="1">
      <c r="A67" s="20">
        <v>1.0</v>
      </c>
      <c r="B67" s="20" t="s">
        <v>31</v>
      </c>
      <c r="C67" s="21"/>
      <c r="D67" s="21"/>
      <c r="E67" s="21"/>
      <c r="F67" s="21"/>
      <c r="G67" s="21"/>
      <c r="H67" s="21"/>
      <c r="I67" s="21"/>
      <c r="J67" s="21"/>
      <c r="K67" s="21"/>
      <c r="L67" s="21"/>
      <c r="M67" s="23">
        <f t="shared" ref="M67:M68" si="66">((P67/1000000)*0.28)+((Q67/1000000)*0.4)</f>
        <v>2.4390618</v>
      </c>
      <c r="N67" s="40">
        <f t="shared" ref="N67:N68" si="67">P67+Q67</f>
        <v>8667177</v>
      </c>
      <c r="O67" s="125"/>
      <c r="P67" s="27">
        <v>8565075.0</v>
      </c>
      <c r="Q67" s="27">
        <v>102102.0</v>
      </c>
      <c r="S67" s="2" t="s">
        <v>133</v>
      </c>
    </row>
    <row r="68" ht="22.5" hidden="1" customHeight="1">
      <c r="A68" s="20">
        <v>2.0</v>
      </c>
      <c r="B68" s="20" t="s">
        <v>45</v>
      </c>
      <c r="C68" s="20">
        <v>3.0</v>
      </c>
      <c r="D68" s="20">
        <v>0.0</v>
      </c>
      <c r="E68" s="21">
        <f t="shared" ref="E68:E69" si="68">C68+D68</f>
        <v>3</v>
      </c>
      <c r="F68" s="20">
        <v>28.0</v>
      </c>
      <c r="G68" s="20">
        <v>0.0</v>
      </c>
      <c r="H68" s="21">
        <f t="shared" ref="H68:H69" si="69">F68+G68</f>
        <v>28</v>
      </c>
      <c r="I68" s="21">
        <f t="shared" ref="I68:J68" si="65">F68+C68</f>
        <v>31</v>
      </c>
      <c r="J68" s="21">
        <f t="shared" si="65"/>
        <v>0</v>
      </c>
      <c r="K68" s="21">
        <f t="shared" ref="K68:K69" si="71">I68+J68</f>
        <v>31</v>
      </c>
      <c r="L68" s="20" t="s">
        <v>935</v>
      </c>
      <c r="M68" s="23">
        <f t="shared" si="66"/>
        <v>0.30701028</v>
      </c>
      <c r="N68" s="25">
        <f t="shared" si="67"/>
        <v>1039926</v>
      </c>
      <c r="O68" s="26">
        <v>44.0</v>
      </c>
      <c r="P68" s="27">
        <v>908001.0</v>
      </c>
      <c r="Q68" s="27">
        <v>131925.0</v>
      </c>
      <c r="S68" s="2" t="s">
        <v>143</v>
      </c>
    </row>
    <row r="69" ht="22.5" hidden="1" customHeight="1">
      <c r="A69" s="20">
        <v>3.0</v>
      </c>
      <c r="B69" s="20" t="s">
        <v>50</v>
      </c>
      <c r="C69" s="20">
        <v>0.0</v>
      </c>
      <c r="D69" s="20">
        <v>0.0</v>
      </c>
      <c r="E69" s="21">
        <f t="shared" si="68"/>
        <v>0</v>
      </c>
      <c r="F69" s="20">
        <v>1.0</v>
      </c>
      <c r="G69" s="20">
        <v>0.0</v>
      </c>
      <c r="H69" s="21">
        <f t="shared" si="69"/>
        <v>1</v>
      </c>
      <c r="I69" s="21">
        <f t="shared" ref="I69:J69" si="70">F69+C69</f>
        <v>1</v>
      </c>
      <c r="J69" s="21">
        <f t="shared" si="70"/>
        <v>0</v>
      </c>
      <c r="K69" s="21">
        <f t="shared" si="71"/>
        <v>1</v>
      </c>
      <c r="L69" s="20" t="s">
        <v>936</v>
      </c>
      <c r="M69" s="23"/>
      <c r="N69" s="21"/>
      <c r="O69" s="26">
        <v>14.0</v>
      </c>
      <c r="P69" s="124"/>
      <c r="Q69" s="124"/>
      <c r="S69" s="2" t="s">
        <v>932</v>
      </c>
    </row>
    <row r="70" hidden="1"/>
    <row r="71" hidden="1"/>
    <row r="72" hidden="1"/>
    <row r="73" hidden="1">
      <c r="A73" s="2"/>
      <c r="B73" s="2"/>
      <c r="C73" s="13" t="s">
        <v>109</v>
      </c>
    </row>
    <row r="74" hidden="1">
      <c r="A74" s="7"/>
      <c r="B74" s="7"/>
      <c r="C74" s="7"/>
      <c r="D74" s="7"/>
      <c r="E74" s="7"/>
      <c r="F74" s="7"/>
      <c r="G74" s="7"/>
      <c r="H74" s="7"/>
      <c r="I74" s="7"/>
      <c r="J74" s="7"/>
      <c r="K74" s="7"/>
      <c r="L74" s="7"/>
      <c r="M74" s="7"/>
      <c r="N74" s="7"/>
    </row>
    <row r="75" ht="22.5" hidden="1" customHeight="1">
      <c r="A75" s="18" t="s">
        <v>12</v>
      </c>
      <c r="B75" s="18" t="s">
        <v>15</v>
      </c>
      <c r="C75" s="18" t="s">
        <v>16</v>
      </c>
      <c r="D75" s="18" t="s">
        <v>17</v>
      </c>
      <c r="E75" s="18" t="s">
        <v>18</v>
      </c>
      <c r="F75" s="18" t="s">
        <v>19</v>
      </c>
      <c r="G75" s="18" t="s">
        <v>20</v>
      </c>
      <c r="H75" s="18" t="s">
        <v>21</v>
      </c>
      <c r="I75" s="18" t="s">
        <v>22</v>
      </c>
      <c r="J75" s="18" t="s">
        <v>23</v>
      </c>
      <c r="K75" s="18" t="s">
        <v>24</v>
      </c>
      <c r="L75" s="18" t="s">
        <v>25</v>
      </c>
      <c r="M75" s="18" t="s">
        <v>26</v>
      </c>
      <c r="N75" s="18" t="s">
        <v>27</v>
      </c>
      <c r="O75" s="19" t="s">
        <v>28</v>
      </c>
      <c r="P75" s="19" t="s">
        <v>29</v>
      </c>
      <c r="Q75" s="19" t="s">
        <v>30</v>
      </c>
    </row>
    <row r="76" ht="22.5" hidden="1" customHeight="1">
      <c r="A76" s="20">
        <v>1.0</v>
      </c>
      <c r="B76" s="20" t="s">
        <v>31</v>
      </c>
      <c r="C76" s="21"/>
      <c r="D76" s="21"/>
      <c r="E76" s="21"/>
      <c r="F76" s="21"/>
      <c r="G76" s="21"/>
      <c r="H76" s="21"/>
      <c r="I76" s="21"/>
      <c r="J76" s="21"/>
      <c r="K76" s="21"/>
      <c r="L76" s="21"/>
      <c r="M76" s="21"/>
      <c r="N76" s="21"/>
      <c r="O76" s="125"/>
    </row>
    <row r="77" ht="22.5" hidden="1" customHeight="1">
      <c r="A77" s="20">
        <v>2.0</v>
      </c>
      <c r="B77" s="20" t="s">
        <v>45</v>
      </c>
      <c r="C77" s="21"/>
      <c r="D77" s="21"/>
      <c r="E77" s="21"/>
      <c r="F77" s="21"/>
      <c r="G77" s="21"/>
      <c r="H77" s="21"/>
      <c r="I77" s="21"/>
      <c r="J77" s="21"/>
      <c r="K77" s="21"/>
      <c r="L77" s="21"/>
      <c r="M77" s="21"/>
      <c r="N77" s="21"/>
      <c r="O77" s="125"/>
      <c r="P77" s="125"/>
      <c r="Q77" s="125"/>
    </row>
    <row r="78" ht="22.5" hidden="1" customHeight="1">
      <c r="A78" s="20">
        <v>3.0</v>
      </c>
      <c r="B78" s="20" t="s">
        <v>50</v>
      </c>
      <c r="C78" s="21"/>
      <c r="D78" s="21"/>
      <c r="E78" s="21"/>
      <c r="F78" s="21"/>
      <c r="G78" s="21"/>
      <c r="H78" s="21"/>
      <c r="I78" s="21"/>
      <c r="J78" s="21"/>
      <c r="K78" s="21"/>
      <c r="L78" s="21"/>
      <c r="M78" s="21"/>
      <c r="N78" s="21"/>
      <c r="O78" s="125"/>
      <c r="P78" s="125"/>
      <c r="Q78" s="125"/>
    </row>
  </sheetData>
  <mergeCells count="10">
    <mergeCell ref="C55:N55"/>
    <mergeCell ref="C64:N64"/>
    <mergeCell ref="C73:N73"/>
    <mergeCell ref="A1:B1"/>
    <mergeCell ref="I2:Z2"/>
    <mergeCell ref="A17:B17"/>
    <mergeCell ref="I18:Z18"/>
    <mergeCell ref="A33:B33"/>
    <mergeCell ref="A44:B44"/>
    <mergeCell ref="Q55:V55"/>
  </mergeCells>
  <dataValidations>
    <dataValidation type="custom" allowBlank="1" showDropDown="1" sqref="M58:M60 M67:M69">
      <formula1>AND(ISNUMBER(M58),(NOT(OR(NOT(ISERROR(DATEVALUE(M58))), AND(ISNUMBER(M58), LEFT(CELL("format", M58))="D")))))</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20"/>
    <hyperlink r:id="rId12" ref="C21"/>
    <hyperlink r:id="rId13" ref="C22"/>
    <hyperlink r:id="rId14" ref="C23"/>
    <hyperlink r:id="rId15" ref="C24"/>
    <hyperlink r:id="rId16" ref="C25"/>
    <hyperlink r:id="rId17" ref="C26"/>
    <hyperlink r:id="rId18" ref="C27"/>
    <hyperlink r:id="rId19" ref="C28"/>
    <hyperlink r:id="rId20" ref="C29"/>
  </hyperlinks>
  <drawing r:id="rId21"/>
  <tableParts count="7">
    <tablePart r:id="rId29"/>
    <tablePart r:id="rId30"/>
    <tablePart r:id="rId31"/>
    <tablePart r:id="rId32"/>
    <tablePart r:id="rId33"/>
    <tablePart r:id="rId34"/>
    <tablePart r:id="rId3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3" max="13" width="5.75"/>
    <col customWidth="1" min="20" max="20" width="5.0"/>
    <col customWidth="1" min="27" max="27" width="4.0"/>
    <col customWidth="1" min="34" max="34" width="3.88"/>
  </cols>
  <sheetData>
    <row r="1">
      <c r="A1" s="6" t="s">
        <v>741</v>
      </c>
      <c r="C1" s="5"/>
      <c r="D1" s="5"/>
      <c r="E1" s="5"/>
      <c r="F1" s="5"/>
    </row>
    <row r="2">
      <c r="A2" s="6"/>
      <c r="B2" s="6"/>
      <c r="C2" s="6"/>
      <c r="D2" s="6"/>
      <c r="E2" s="6"/>
      <c r="F2" s="6"/>
      <c r="G2" s="88"/>
      <c r="H2" s="88"/>
      <c r="I2" s="88" t="s">
        <v>104</v>
      </c>
    </row>
    <row r="3" ht="22.5" customHeight="1">
      <c r="A3" s="89" t="s">
        <v>12</v>
      </c>
      <c r="B3" s="89" t="s">
        <v>97</v>
      </c>
      <c r="C3" s="89" t="s">
        <v>743</v>
      </c>
      <c r="D3" s="90" t="s">
        <v>744</v>
      </c>
      <c r="E3" s="89" t="s">
        <v>99</v>
      </c>
      <c r="F3" s="89" t="s">
        <v>100</v>
      </c>
      <c r="G3" s="90" t="s">
        <v>745</v>
      </c>
      <c r="H3" s="90" t="s">
        <v>746</v>
      </c>
      <c r="I3" s="89" t="s">
        <v>747</v>
      </c>
      <c r="J3" s="90" t="s">
        <v>748</v>
      </c>
      <c r="K3" s="90" t="s">
        <v>750</v>
      </c>
      <c r="L3" s="89" t="s">
        <v>751</v>
      </c>
      <c r="M3" s="91" t="s">
        <v>752</v>
      </c>
      <c r="N3" s="90" t="s">
        <v>753</v>
      </c>
      <c r="O3" s="90" t="s">
        <v>754</v>
      </c>
      <c r="P3" s="89" t="s">
        <v>755</v>
      </c>
      <c r="Q3" s="90" t="s">
        <v>756</v>
      </c>
      <c r="R3" s="90" t="s">
        <v>757</v>
      </c>
      <c r="S3" s="89" t="s">
        <v>758</v>
      </c>
      <c r="T3" s="91" t="s">
        <v>759</v>
      </c>
      <c r="U3" s="90" t="s">
        <v>760</v>
      </c>
      <c r="V3" s="90" t="s">
        <v>762</v>
      </c>
      <c r="W3" s="89" t="s">
        <v>763</v>
      </c>
      <c r="X3" s="90" t="s">
        <v>764</v>
      </c>
      <c r="Y3" s="90" t="s">
        <v>765</v>
      </c>
      <c r="Z3" s="89" t="s">
        <v>766</v>
      </c>
      <c r="AA3" s="91" t="s">
        <v>767</v>
      </c>
      <c r="AB3" s="90" t="s">
        <v>768</v>
      </c>
      <c r="AC3" s="90" t="s">
        <v>769</v>
      </c>
      <c r="AD3" s="89" t="s">
        <v>771</v>
      </c>
      <c r="AE3" s="90" t="s">
        <v>772</v>
      </c>
      <c r="AF3" s="90" t="s">
        <v>773</v>
      </c>
      <c r="AG3" s="89" t="s">
        <v>774</v>
      </c>
      <c r="AH3" s="91" t="s">
        <v>775</v>
      </c>
      <c r="AI3" s="92" t="s">
        <v>103</v>
      </c>
      <c r="AJ3" s="92" t="s">
        <v>24</v>
      </c>
    </row>
    <row r="4" ht="22.5" customHeight="1">
      <c r="A4" s="20">
        <v>1.0</v>
      </c>
      <c r="B4" s="20" t="s">
        <v>112</v>
      </c>
      <c r="C4" s="93" t="s">
        <v>114</v>
      </c>
      <c r="D4" s="20" t="s">
        <v>777</v>
      </c>
      <c r="E4" s="18">
        <v>650.0</v>
      </c>
      <c r="F4" s="20" t="s">
        <v>116</v>
      </c>
      <c r="G4" s="94">
        <v>1.0</v>
      </c>
      <c r="H4" s="94">
        <v>2.0</v>
      </c>
      <c r="I4" s="95">
        <f t="shared" ref="I4:I13" si="1">G4+H4</f>
        <v>3</v>
      </c>
      <c r="J4" s="94"/>
      <c r="K4" s="94">
        <v>2.0</v>
      </c>
      <c r="L4" s="95">
        <f t="shared" ref="L4:L13" si="2">J4+K4</f>
        <v>2</v>
      </c>
      <c r="M4" s="97"/>
      <c r="N4" s="94">
        <v>0.0</v>
      </c>
      <c r="O4" s="94">
        <v>0.0</v>
      </c>
      <c r="P4" s="95">
        <f t="shared" ref="P4:P13" si="3">N4+O4</f>
        <v>0</v>
      </c>
      <c r="Q4" s="98"/>
      <c r="R4" s="98"/>
      <c r="S4" s="95">
        <f t="shared" ref="S4:S13" si="4">Q4+R4</f>
        <v>0</v>
      </c>
      <c r="T4" s="97"/>
      <c r="U4" s="99">
        <v>0.0</v>
      </c>
      <c r="V4" s="99">
        <v>0.0</v>
      </c>
      <c r="W4" s="95">
        <f t="shared" ref="W4:W13" si="5">U4+V4</f>
        <v>0</v>
      </c>
      <c r="X4" s="100"/>
      <c r="Y4" s="100"/>
      <c r="Z4" s="95">
        <f t="shared" ref="Z4:Z13" si="6">X4+Y4</f>
        <v>0</v>
      </c>
      <c r="AA4" s="97"/>
      <c r="AB4" s="101"/>
      <c r="AC4" s="101"/>
      <c r="AD4" s="102">
        <f t="shared" ref="AD4:AD13" si="7">AB4+AC4</f>
        <v>0</v>
      </c>
      <c r="AE4" s="101"/>
      <c r="AF4" s="101"/>
      <c r="AG4" s="102">
        <f t="shared" ref="AG4:AG13" si="8">AE4+AF4</f>
        <v>0</v>
      </c>
      <c r="AH4" s="103"/>
      <c r="AI4" s="104">
        <f t="shared" ref="AI4:AI13" si="9">I4+P4+W4+AD4</f>
        <v>3</v>
      </c>
      <c r="AJ4" s="104">
        <f t="shared" ref="AJ4:AJ13" si="10">L4+S4+Z4+AG4</f>
        <v>2</v>
      </c>
    </row>
    <row r="5" ht="22.5" customHeight="1">
      <c r="A5" s="20">
        <v>2.0</v>
      </c>
      <c r="B5" s="20" t="s">
        <v>118</v>
      </c>
      <c r="C5" s="93" t="s">
        <v>119</v>
      </c>
      <c r="D5" s="20" t="s">
        <v>786</v>
      </c>
      <c r="E5" s="20" t="s">
        <v>121</v>
      </c>
      <c r="F5" s="20" t="s">
        <v>122</v>
      </c>
      <c r="G5" s="94">
        <v>0.0</v>
      </c>
      <c r="H5" s="94">
        <v>1.0</v>
      </c>
      <c r="I5" s="95">
        <f t="shared" si="1"/>
        <v>1</v>
      </c>
      <c r="J5" s="98"/>
      <c r="K5" s="98"/>
      <c r="L5" s="95">
        <f t="shared" si="2"/>
        <v>0</v>
      </c>
      <c r="M5" s="97"/>
      <c r="N5" s="94">
        <v>0.0</v>
      </c>
      <c r="O5" s="94">
        <v>0.0</v>
      </c>
      <c r="P5" s="95">
        <f t="shared" si="3"/>
        <v>0</v>
      </c>
      <c r="Q5" s="98"/>
      <c r="R5" s="98"/>
      <c r="S5" s="95">
        <f t="shared" si="4"/>
        <v>0</v>
      </c>
      <c r="T5" s="97"/>
      <c r="U5" s="99">
        <v>0.0</v>
      </c>
      <c r="V5" s="99">
        <v>0.0</v>
      </c>
      <c r="W5" s="95">
        <f t="shared" si="5"/>
        <v>0</v>
      </c>
      <c r="X5" s="100"/>
      <c r="Y5" s="100"/>
      <c r="Z5" s="95">
        <f t="shared" si="6"/>
        <v>0</v>
      </c>
      <c r="AA5" s="97"/>
      <c r="AB5" s="101"/>
      <c r="AC5" s="101"/>
      <c r="AD5" s="102">
        <f t="shared" si="7"/>
        <v>0</v>
      </c>
      <c r="AE5" s="101"/>
      <c r="AF5" s="101"/>
      <c r="AG5" s="102">
        <f t="shared" si="8"/>
        <v>0</v>
      </c>
      <c r="AH5" s="103"/>
      <c r="AI5" s="104">
        <f t="shared" si="9"/>
        <v>1</v>
      </c>
      <c r="AJ5" s="104">
        <f t="shared" si="10"/>
        <v>0</v>
      </c>
    </row>
    <row r="6" ht="22.5" customHeight="1">
      <c r="A6" s="20">
        <v>3.0</v>
      </c>
      <c r="B6" s="20" t="s">
        <v>123</v>
      </c>
      <c r="C6" s="93" t="s">
        <v>124</v>
      </c>
      <c r="D6" s="20" t="s">
        <v>777</v>
      </c>
      <c r="E6" s="20" t="s">
        <v>127</v>
      </c>
      <c r="F6" s="20" t="s">
        <v>116</v>
      </c>
      <c r="G6" s="105">
        <v>4.0</v>
      </c>
      <c r="H6" s="105">
        <v>8.0</v>
      </c>
      <c r="I6" s="95">
        <f t="shared" si="1"/>
        <v>12</v>
      </c>
      <c r="J6" s="94">
        <v>4.0</v>
      </c>
      <c r="K6" s="94">
        <v>2.0</v>
      </c>
      <c r="L6" s="95">
        <f t="shared" si="2"/>
        <v>6</v>
      </c>
      <c r="M6" s="106"/>
      <c r="N6" s="94">
        <v>2.0</v>
      </c>
      <c r="O6" s="94">
        <v>0.0</v>
      </c>
      <c r="P6" s="95">
        <f t="shared" si="3"/>
        <v>2</v>
      </c>
      <c r="Q6" s="94">
        <v>1.0</v>
      </c>
      <c r="R6" s="94"/>
      <c r="S6" s="95">
        <f t="shared" si="4"/>
        <v>1</v>
      </c>
      <c r="T6" s="106"/>
      <c r="U6" s="99">
        <v>4.0</v>
      </c>
      <c r="V6" s="99">
        <v>6.0</v>
      </c>
      <c r="W6" s="95">
        <f t="shared" si="5"/>
        <v>10</v>
      </c>
      <c r="X6" s="99">
        <v>4.0</v>
      </c>
      <c r="Y6" s="99">
        <v>2.0</v>
      </c>
      <c r="Z6" s="95">
        <f t="shared" si="6"/>
        <v>6</v>
      </c>
      <c r="AA6" s="106"/>
      <c r="AB6" s="107">
        <v>0.0</v>
      </c>
      <c r="AC6" s="107">
        <v>5.0</v>
      </c>
      <c r="AD6" s="102">
        <f t="shared" si="7"/>
        <v>5</v>
      </c>
      <c r="AE6" s="107"/>
      <c r="AF6" s="107">
        <v>2.0</v>
      </c>
      <c r="AG6" s="102">
        <f t="shared" si="8"/>
        <v>2</v>
      </c>
      <c r="AH6" s="103"/>
      <c r="AI6" s="104">
        <f t="shared" si="9"/>
        <v>29</v>
      </c>
      <c r="AJ6" s="104">
        <f t="shared" si="10"/>
        <v>15</v>
      </c>
    </row>
    <row r="7" ht="22.5" customHeight="1">
      <c r="A7" s="20">
        <v>4.0</v>
      </c>
      <c r="B7" s="20" t="s">
        <v>128</v>
      </c>
      <c r="C7" s="93" t="s">
        <v>129</v>
      </c>
      <c r="D7" s="20" t="s">
        <v>777</v>
      </c>
      <c r="E7" s="20" t="s">
        <v>132</v>
      </c>
      <c r="F7" s="20" t="s">
        <v>122</v>
      </c>
      <c r="G7" s="94">
        <v>2.0</v>
      </c>
      <c r="H7" s="94">
        <v>5.0</v>
      </c>
      <c r="I7" s="95">
        <f t="shared" si="1"/>
        <v>7</v>
      </c>
      <c r="J7" s="94">
        <v>1.0</v>
      </c>
      <c r="K7" s="94"/>
      <c r="L7" s="95">
        <f t="shared" si="2"/>
        <v>1</v>
      </c>
      <c r="M7" s="106"/>
      <c r="N7" s="94">
        <v>0.0</v>
      </c>
      <c r="O7" s="94">
        <v>0.0</v>
      </c>
      <c r="P7" s="95">
        <f t="shared" si="3"/>
        <v>0</v>
      </c>
      <c r="Q7" s="98"/>
      <c r="R7" s="98"/>
      <c r="S7" s="95">
        <f t="shared" si="4"/>
        <v>0</v>
      </c>
      <c r="T7" s="106"/>
      <c r="U7" s="99">
        <v>26.0</v>
      </c>
      <c r="V7" s="99">
        <v>0.0</v>
      </c>
      <c r="W7" s="95">
        <f t="shared" si="5"/>
        <v>26</v>
      </c>
      <c r="X7" s="99">
        <v>14.0</v>
      </c>
      <c r="Y7" s="99"/>
      <c r="Z7" s="95">
        <f t="shared" si="6"/>
        <v>14</v>
      </c>
      <c r="AA7" s="106"/>
      <c r="AB7" s="107">
        <v>0.0</v>
      </c>
      <c r="AC7" s="107">
        <v>16.0</v>
      </c>
      <c r="AD7" s="102">
        <f t="shared" si="7"/>
        <v>16</v>
      </c>
      <c r="AE7" s="107"/>
      <c r="AF7" s="107"/>
      <c r="AG7" s="102">
        <f t="shared" si="8"/>
        <v>0</v>
      </c>
      <c r="AH7" s="103"/>
      <c r="AI7" s="104">
        <f t="shared" si="9"/>
        <v>49</v>
      </c>
      <c r="AJ7" s="104">
        <f t="shared" si="10"/>
        <v>15</v>
      </c>
    </row>
    <row r="8" ht="22.5" customHeight="1">
      <c r="A8" s="20">
        <v>5.0</v>
      </c>
      <c r="B8" s="20" t="s">
        <v>134</v>
      </c>
      <c r="C8" s="93" t="s">
        <v>136</v>
      </c>
      <c r="D8" s="20" t="s">
        <v>777</v>
      </c>
      <c r="E8" s="20" t="s">
        <v>137</v>
      </c>
      <c r="F8" s="20" t="s">
        <v>116</v>
      </c>
      <c r="G8" s="94">
        <v>1.0</v>
      </c>
      <c r="H8" s="94">
        <v>0.0</v>
      </c>
      <c r="I8" s="95">
        <f t="shared" si="1"/>
        <v>1</v>
      </c>
      <c r="J8" s="94"/>
      <c r="K8" s="94"/>
      <c r="L8" s="95">
        <f t="shared" si="2"/>
        <v>0</v>
      </c>
      <c r="M8" s="97"/>
      <c r="N8" s="94">
        <v>0.0</v>
      </c>
      <c r="O8" s="94">
        <v>0.0</v>
      </c>
      <c r="P8" s="95">
        <f t="shared" si="3"/>
        <v>0</v>
      </c>
      <c r="Q8" s="98"/>
      <c r="R8" s="98"/>
      <c r="S8" s="95">
        <f t="shared" si="4"/>
        <v>0</v>
      </c>
      <c r="T8" s="97"/>
      <c r="U8" s="99">
        <v>0.0</v>
      </c>
      <c r="V8" s="99">
        <v>0.0</v>
      </c>
      <c r="W8" s="95">
        <f t="shared" si="5"/>
        <v>0</v>
      </c>
      <c r="X8" s="100"/>
      <c r="Y8" s="100"/>
      <c r="Z8" s="95">
        <f t="shared" si="6"/>
        <v>0</v>
      </c>
      <c r="AA8" s="97"/>
      <c r="AB8" s="101"/>
      <c r="AC8" s="101"/>
      <c r="AD8" s="102">
        <f t="shared" si="7"/>
        <v>0</v>
      </c>
      <c r="AE8" s="101"/>
      <c r="AF8" s="101"/>
      <c r="AG8" s="102">
        <f t="shared" si="8"/>
        <v>0</v>
      </c>
      <c r="AH8" s="103"/>
      <c r="AI8" s="104">
        <f t="shared" si="9"/>
        <v>1</v>
      </c>
      <c r="AJ8" s="104">
        <f t="shared" si="10"/>
        <v>0</v>
      </c>
    </row>
    <row r="9" ht="22.5" customHeight="1">
      <c r="A9" s="20">
        <v>6.0</v>
      </c>
      <c r="B9" s="20" t="s">
        <v>139</v>
      </c>
      <c r="C9" s="93" t="s">
        <v>140</v>
      </c>
      <c r="D9" s="20" t="s">
        <v>786</v>
      </c>
      <c r="E9" s="20" t="s">
        <v>127</v>
      </c>
      <c r="F9" s="20" t="s">
        <v>116</v>
      </c>
      <c r="G9" s="94">
        <v>0.0</v>
      </c>
      <c r="H9" s="94">
        <v>2.0</v>
      </c>
      <c r="I9" s="95">
        <f t="shared" si="1"/>
        <v>2</v>
      </c>
      <c r="J9" s="98"/>
      <c r="K9" s="98"/>
      <c r="L9" s="95">
        <f t="shared" si="2"/>
        <v>0</v>
      </c>
      <c r="M9" s="97"/>
      <c r="N9" s="94">
        <v>0.0</v>
      </c>
      <c r="O9" s="94">
        <v>0.0</v>
      </c>
      <c r="P9" s="95">
        <f t="shared" si="3"/>
        <v>0</v>
      </c>
      <c r="Q9" s="98"/>
      <c r="R9" s="98"/>
      <c r="S9" s="95">
        <f t="shared" si="4"/>
        <v>0</v>
      </c>
      <c r="T9" s="97"/>
      <c r="U9" s="99">
        <v>0.0</v>
      </c>
      <c r="V9" s="99">
        <v>0.0</v>
      </c>
      <c r="W9" s="95">
        <f t="shared" si="5"/>
        <v>0</v>
      </c>
      <c r="X9" s="100"/>
      <c r="Y9" s="100"/>
      <c r="Z9" s="95">
        <f t="shared" si="6"/>
        <v>0</v>
      </c>
      <c r="AA9" s="97"/>
      <c r="AB9" s="107">
        <v>0.0</v>
      </c>
      <c r="AC9" s="107">
        <v>1.0</v>
      </c>
      <c r="AD9" s="102">
        <f t="shared" si="7"/>
        <v>1</v>
      </c>
      <c r="AE9" s="101"/>
      <c r="AF9" s="101"/>
      <c r="AG9" s="102">
        <f t="shared" si="8"/>
        <v>0</v>
      </c>
      <c r="AH9" s="103"/>
      <c r="AI9" s="104">
        <f t="shared" si="9"/>
        <v>3</v>
      </c>
      <c r="AJ9" s="104">
        <f t="shared" si="10"/>
        <v>0</v>
      </c>
    </row>
    <row r="10" ht="22.5" customHeight="1">
      <c r="A10" s="20">
        <v>7.0</v>
      </c>
      <c r="B10" s="20" t="s">
        <v>144</v>
      </c>
      <c r="C10" s="93" t="s">
        <v>145</v>
      </c>
      <c r="D10" s="20" t="s">
        <v>777</v>
      </c>
      <c r="E10" s="20" t="s">
        <v>147</v>
      </c>
      <c r="F10" s="20" t="s">
        <v>122</v>
      </c>
      <c r="G10" s="108">
        <v>11.0</v>
      </c>
      <c r="H10" s="108">
        <v>2.0</v>
      </c>
      <c r="I10" s="95">
        <f t="shared" si="1"/>
        <v>13</v>
      </c>
      <c r="J10" s="94">
        <v>5.0</v>
      </c>
      <c r="K10" s="98"/>
      <c r="L10" s="95">
        <f t="shared" si="2"/>
        <v>5</v>
      </c>
      <c r="M10" s="97"/>
      <c r="N10" s="94">
        <v>0.0</v>
      </c>
      <c r="O10" s="94">
        <v>0.0</v>
      </c>
      <c r="P10" s="95">
        <f t="shared" si="3"/>
        <v>0</v>
      </c>
      <c r="Q10" s="98"/>
      <c r="R10" s="98"/>
      <c r="S10" s="95">
        <f t="shared" si="4"/>
        <v>0</v>
      </c>
      <c r="T10" s="97"/>
      <c r="U10" s="99">
        <v>0.0</v>
      </c>
      <c r="V10" s="99">
        <v>0.0</v>
      </c>
      <c r="W10" s="95">
        <f t="shared" si="5"/>
        <v>0</v>
      </c>
      <c r="X10" s="100"/>
      <c r="Y10" s="100"/>
      <c r="Z10" s="95">
        <f t="shared" si="6"/>
        <v>0</v>
      </c>
      <c r="AA10" s="97"/>
      <c r="AB10" s="101"/>
      <c r="AC10" s="101"/>
      <c r="AD10" s="102">
        <f t="shared" si="7"/>
        <v>0</v>
      </c>
      <c r="AE10" s="101"/>
      <c r="AF10" s="101"/>
      <c r="AG10" s="102">
        <f t="shared" si="8"/>
        <v>0</v>
      </c>
      <c r="AH10" s="103"/>
      <c r="AI10" s="104">
        <f t="shared" si="9"/>
        <v>13</v>
      </c>
      <c r="AJ10" s="104">
        <f t="shared" si="10"/>
        <v>5</v>
      </c>
    </row>
    <row r="11" ht="22.5" customHeight="1">
      <c r="A11" s="20">
        <v>8.0</v>
      </c>
      <c r="B11" s="20" t="s">
        <v>148</v>
      </c>
      <c r="C11" s="93" t="s">
        <v>149</v>
      </c>
      <c r="D11" s="20" t="s">
        <v>777</v>
      </c>
      <c r="E11" s="20" t="s">
        <v>151</v>
      </c>
      <c r="F11" s="20" t="s">
        <v>122</v>
      </c>
      <c r="G11" s="94">
        <v>0.0</v>
      </c>
      <c r="H11" s="94">
        <v>0.0</v>
      </c>
      <c r="I11" s="95">
        <f t="shared" si="1"/>
        <v>0</v>
      </c>
      <c r="J11" s="98"/>
      <c r="K11" s="98"/>
      <c r="L11" s="95">
        <f t="shared" si="2"/>
        <v>0</v>
      </c>
      <c r="M11" s="106"/>
      <c r="N11" s="94">
        <v>9.0</v>
      </c>
      <c r="O11" s="94">
        <v>2.0</v>
      </c>
      <c r="P11" s="95">
        <f t="shared" si="3"/>
        <v>11</v>
      </c>
      <c r="Q11" s="98"/>
      <c r="R11" s="98"/>
      <c r="S11" s="95">
        <f t="shared" si="4"/>
        <v>0</v>
      </c>
      <c r="T11" s="106"/>
      <c r="U11" s="99">
        <v>0.0</v>
      </c>
      <c r="V11" s="99">
        <v>0.0</v>
      </c>
      <c r="W11" s="95">
        <f t="shared" si="5"/>
        <v>0</v>
      </c>
      <c r="X11" s="100"/>
      <c r="Y11" s="100"/>
      <c r="Z11" s="95">
        <f t="shared" si="6"/>
        <v>0</v>
      </c>
      <c r="AA11" s="106"/>
      <c r="AB11" s="101"/>
      <c r="AC11" s="101"/>
      <c r="AD11" s="102">
        <f t="shared" si="7"/>
        <v>0</v>
      </c>
      <c r="AE11" s="101"/>
      <c r="AF11" s="101"/>
      <c r="AG11" s="102">
        <f t="shared" si="8"/>
        <v>0</v>
      </c>
      <c r="AH11" s="103"/>
      <c r="AI11" s="104">
        <f t="shared" si="9"/>
        <v>11</v>
      </c>
      <c r="AJ11" s="104">
        <f t="shared" si="10"/>
        <v>0</v>
      </c>
    </row>
    <row r="12" ht="22.5" customHeight="1">
      <c r="A12" s="20">
        <v>9.0</v>
      </c>
      <c r="B12" s="20" t="s">
        <v>154</v>
      </c>
      <c r="C12" s="93" t="s">
        <v>155</v>
      </c>
      <c r="D12" s="20" t="s">
        <v>777</v>
      </c>
      <c r="E12" s="20" t="s">
        <v>159</v>
      </c>
      <c r="F12" s="20" t="s">
        <v>122</v>
      </c>
      <c r="G12" s="94">
        <v>1.0</v>
      </c>
      <c r="H12" s="94">
        <v>0.0</v>
      </c>
      <c r="I12" s="95">
        <f t="shared" si="1"/>
        <v>1</v>
      </c>
      <c r="J12" s="98"/>
      <c r="K12" s="98"/>
      <c r="L12" s="95">
        <f t="shared" si="2"/>
        <v>0</v>
      </c>
      <c r="M12" s="106"/>
      <c r="N12" s="94">
        <v>6.0</v>
      </c>
      <c r="O12" s="94">
        <v>5.0</v>
      </c>
      <c r="P12" s="95">
        <f t="shared" si="3"/>
        <v>11</v>
      </c>
      <c r="Q12" s="98"/>
      <c r="R12" s="98"/>
      <c r="S12" s="95">
        <f t="shared" si="4"/>
        <v>0</v>
      </c>
      <c r="T12" s="106"/>
      <c r="U12" s="99">
        <v>0.0</v>
      </c>
      <c r="V12" s="99">
        <v>0.0</v>
      </c>
      <c r="W12" s="95">
        <f t="shared" si="5"/>
        <v>0</v>
      </c>
      <c r="X12" s="100"/>
      <c r="Y12" s="100"/>
      <c r="Z12" s="95">
        <f t="shared" si="6"/>
        <v>0</v>
      </c>
      <c r="AA12" s="106"/>
      <c r="AB12" s="101"/>
      <c r="AC12" s="101"/>
      <c r="AD12" s="102">
        <f t="shared" si="7"/>
        <v>0</v>
      </c>
      <c r="AE12" s="101"/>
      <c r="AF12" s="101"/>
      <c r="AG12" s="102">
        <f t="shared" si="8"/>
        <v>0</v>
      </c>
      <c r="AH12" s="103"/>
      <c r="AI12" s="104">
        <f t="shared" si="9"/>
        <v>12</v>
      </c>
      <c r="AJ12" s="104">
        <f t="shared" si="10"/>
        <v>0</v>
      </c>
    </row>
    <row r="13" ht="22.5" customHeight="1">
      <c r="A13" s="20">
        <v>10.0</v>
      </c>
      <c r="B13" s="20" t="s">
        <v>161</v>
      </c>
      <c r="C13" s="93" t="s">
        <v>162</v>
      </c>
      <c r="D13" s="20" t="s">
        <v>851</v>
      </c>
      <c r="E13" s="20" t="s">
        <v>165</v>
      </c>
      <c r="F13" s="20" t="s">
        <v>116</v>
      </c>
      <c r="G13" s="94">
        <v>0.0</v>
      </c>
      <c r="H13" s="94">
        <v>0.0</v>
      </c>
      <c r="I13" s="95">
        <f t="shared" si="1"/>
        <v>0</v>
      </c>
      <c r="J13" s="98"/>
      <c r="K13" s="98"/>
      <c r="L13" s="95">
        <f t="shared" si="2"/>
        <v>0</v>
      </c>
      <c r="M13" s="106"/>
      <c r="N13" s="94">
        <v>11.0</v>
      </c>
      <c r="O13" s="94">
        <v>0.0</v>
      </c>
      <c r="P13" s="95">
        <f t="shared" si="3"/>
        <v>11</v>
      </c>
      <c r="Q13" s="98"/>
      <c r="R13" s="98"/>
      <c r="S13" s="95">
        <f t="shared" si="4"/>
        <v>0</v>
      </c>
      <c r="T13" s="106"/>
      <c r="U13" s="99">
        <v>0.0</v>
      </c>
      <c r="V13" s="99">
        <v>0.0</v>
      </c>
      <c r="W13" s="95">
        <f t="shared" si="5"/>
        <v>0</v>
      </c>
      <c r="X13" s="100"/>
      <c r="Y13" s="100"/>
      <c r="Z13" s="95">
        <f t="shared" si="6"/>
        <v>0</v>
      </c>
      <c r="AA13" s="106"/>
      <c r="AB13" s="101"/>
      <c r="AC13" s="101"/>
      <c r="AD13" s="102">
        <f t="shared" si="7"/>
        <v>0</v>
      </c>
      <c r="AE13" s="101"/>
      <c r="AF13" s="101"/>
      <c r="AG13" s="102">
        <f t="shared" si="8"/>
        <v>0</v>
      </c>
      <c r="AH13" s="103"/>
      <c r="AI13" s="104">
        <f t="shared" si="9"/>
        <v>11</v>
      </c>
      <c r="AJ13" s="104">
        <f t="shared" si="10"/>
        <v>0</v>
      </c>
    </row>
    <row r="14" ht="22.5" customHeight="1">
      <c r="A14" s="109"/>
      <c r="B14" s="110" t="s">
        <v>252</v>
      </c>
      <c r="C14" s="109"/>
      <c r="D14" s="109"/>
      <c r="E14" s="109"/>
      <c r="F14" s="109"/>
      <c r="G14" s="111">
        <f t="shared" ref="G14:L14" si="11">SUM(G4:G13)</f>
        <v>20</v>
      </c>
      <c r="H14" s="111">
        <f t="shared" si="11"/>
        <v>20</v>
      </c>
      <c r="I14" s="111">
        <f t="shared" si="11"/>
        <v>40</v>
      </c>
      <c r="J14" s="111">
        <f t="shared" si="11"/>
        <v>10</v>
      </c>
      <c r="K14" s="111">
        <f t="shared" si="11"/>
        <v>4</v>
      </c>
      <c r="L14" s="111">
        <f t="shared" si="11"/>
        <v>14</v>
      </c>
      <c r="M14" s="97"/>
      <c r="N14" s="111">
        <f t="shared" ref="N14:S14" si="12">SUM(N4:N13)</f>
        <v>28</v>
      </c>
      <c r="O14" s="111">
        <f t="shared" si="12"/>
        <v>7</v>
      </c>
      <c r="P14" s="111">
        <f t="shared" si="12"/>
        <v>35</v>
      </c>
      <c r="Q14" s="111">
        <f t="shared" si="12"/>
        <v>1</v>
      </c>
      <c r="R14" s="111">
        <f t="shared" si="12"/>
        <v>0</v>
      </c>
      <c r="S14" s="111">
        <f t="shared" si="12"/>
        <v>1</v>
      </c>
      <c r="T14" s="97"/>
      <c r="U14" s="111">
        <f t="shared" ref="U14:Z14" si="13">SUM(U4:U13)</f>
        <v>30</v>
      </c>
      <c r="V14" s="111">
        <f t="shared" si="13"/>
        <v>6</v>
      </c>
      <c r="W14" s="111">
        <f t="shared" si="13"/>
        <v>36</v>
      </c>
      <c r="X14" s="111">
        <f t="shared" si="13"/>
        <v>18</v>
      </c>
      <c r="Y14" s="111">
        <f t="shared" si="13"/>
        <v>2</v>
      </c>
      <c r="Z14" s="111">
        <f t="shared" si="13"/>
        <v>20</v>
      </c>
      <c r="AA14" s="97"/>
      <c r="AB14" s="111">
        <f t="shared" ref="AB14:AG14" si="14">SUM(AB4:AB13)</f>
        <v>0</v>
      </c>
      <c r="AC14" s="111">
        <f t="shared" si="14"/>
        <v>22</v>
      </c>
      <c r="AD14" s="111">
        <f t="shared" si="14"/>
        <v>22</v>
      </c>
      <c r="AE14" s="111">
        <f t="shared" si="14"/>
        <v>0</v>
      </c>
      <c r="AF14" s="111">
        <f t="shared" si="14"/>
        <v>2</v>
      </c>
      <c r="AG14" s="111">
        <f t="shared" si="14"/>
        <v>2</v>
      </c>
      <c r="AH14" s="97"/>
      <c r="AI14" s="112">
        <f t="shared" ref="AI14:AJ14" si="15">SUM(AI4:AI13)</f>
        <v>133</v>
      </c>
      <c r="AJ14" s="112">
        <f t="shared" si="15"/>
        <v>37</v>
      </c>
    </row>
    <row r="15">
      <c r="A15" s="5"/>
    </row>
    <row r="16">
      <c r="A16" s="6"/>
    </row>
    <row r="17">
      <c r="A17" s="6" t="s">
        <v>873</v>
      </c>
    </row>
    <row r="18">
      <c r="A18" s="6"/>
      <c r="C18" s="6"/>
      <c r="D18" s="6"/>
      <c r="E18" s="6"/>
      <c r="F18" s="6"/>
      <c r="G18" s="88"/>
      <c r="H18" s="88"/>
      <c r="I18" s="88" t="s">
        <v>104</v>
      </c>
    </row>
    <row r="19" ht="22.5" customHeight="1">
      <c r="A19" s="89" t="s">
        <v>12</v>
      </c>
      <c r="B19" s="89" t="s">
        <v>97</v>
      </c>
      <c r="C19" s="89" t="s">
        <v>743</v>
      </c>
      <c r="D19" s="90" t="s">
        <v>744</v>
      </c>
      <c r="E19" s="89" t="s">
        <v>99</v>
      </c>
      <c r="F19" s="89" t="s">
        <v>100</v>
      </c>
      <c r="G19" s="90" t="s">
        <v>745</v>
      </c>
      <c r="H19" s="90" t="s">
        <v>746</v>
      </c>
      <c r="I19" s="89" t="s">
        <v>747</v>
      </c>
      <c r="J19" s="90" t="s">
        <v>876</v>
      </c>
      <c r="K19" s="90" t="s">
        <v>877</v>
      </c>
      <c r="L19" s="89" t="s">
        <v>751</v>
      </c>
      <c r="M19" s="91" t="s">
        <v>752</v>
      </c>
      <c r="N19" s="90" t="s">
        <v>753</v>
      </c>
      <c r="O19" s="90" t="s">
        <v>754</v>
      </c>
      <c r="P19" s="89" t="s">
        <v>755</v>
      </c>
      <c r="Q19" s="90" t="s">
        <v>756</v>
      </c>
      <c r="R19" s="90" t="s">
        <v>757</v>
      </c>
      <c r="S19" s="89" t="s">
        <v>758</v>
      </c>
      <c r="T19" s="91" t="s">
        <v>759</v>
      </c>
      <c r="U19" s="90" t="s">
        <v>760</v>
      </c>
      <c r="V19" s="90" t="s">
        <v>762</v>
      </c>
      <c r="W19" s="89" t="s">
        <v>763</v>
      </c>
      <c r="X19" s="90" t="s">
        <v>764</v>
      </c>
      <c r="Y19" s="90" t="s">
        <v>765</v>
      </c>
      <c r="Z19" s="89" t="s">
        <v>766</v>
      </c>
      <c r="AA19" s="91" t="s">
        <v>767</v>
      </c>
      <c r="AB19" s="90" t="s">
        <v>768</v>
      </c>
      <c r="AC19" s="90" t="s">
        <v>769</v>
      </c>
      <c r="AD19" s="89" t="s">
        <v>771</v>
      </c>
      <c r="AE19" s="90" t="s">
        <v>772</v>
      </c>
      <c r="AF19" s="90" t="s">
        <v>773</v>
      </c>
      <c r="AG19" s="89" t="s">
        <v>774</v>
      </c>
      <c r="AH19" s="91" t="s">
        <v>775</v>
      </c>
      <c r="AI19" s="92" t="s">
        <v>103</v>
      </c>
      <c r="AJ19" s="92" t="s">
        <v>24</v>
      </c>
    </row>
    <row r="20" ht="22.5" customHeight="1">
      <c r="A20" s="20">
        <v>1.0</v>
      </c>
      <c r="B20" s="20" t="s">
        <v>167</v>
      </c>
      <c r="C20" s="93" t="s">
        <v>168</v>
      </c>
      <c r="D20" s="20" t="s">
        <v>777</v>
      </c>
      <c r="E20" s="20" t="s">
        <v>171</v>
      </c>
      <c r="F20" s="20" t="s">
        <v>172</v>
      </c>
      <c r="G20" s="94">
        <v>4.0</v>
      </c>
      <c r="H20" s="94">
        <v>1.0</v>
      </c>
      <c r="I20" s="95">
        <f t="shared" ref="I20:I29" si="16">G20+H20</f>
        <v>5</v>
      </c>
      <c r="J20" s="94">
        <v>1.0</v>
      </c>
      <c r="K20" s="94">
        <v>1.0</v>
      </c>
      <c r="L20" s="111">
        <f t="shared" ref="L20:L29" si="17">J20+K20</f>
        <v>2</v>
      </c>
      <c r="M20" s="97"/>
      <c r="N20" s="94">
        <v>0.0</v>
      </c>
      <c r="O20" s="94">
        <v>0.0</v>
      </c>
      <c r="P20" s="111">
        <f t="shared" ref="P20:P29" si="18">N20+O20</f>
        <v>0</v>
      </c>
      <c r="Q20" s="98"/>
      <c r="R20" s="98"/>
      <c r="S20" s="111">
        <f t="shared" ref="S20:S29" si="19">Q20+R20</f>
        <v>0</v>
      </c>
      <c r="T20" s="97"/>
      <c r="U20" s="99">
        <v>6.0</v>
      </c>
      <c r="V20" s="99">
        <v>2.0</v>
      </c>
      <c r="W20" s="95">
        <f t="shared" ref="W20:W29" si="20">U20+V20</f>
        <v>8</v>
      </c>
      <c r="X20" s="100"/>
      <c r="Y20" s="100"/>
      <c r="Z20" s="111">
        <f t="shared" ref="Z20:Z29" si="21">X20+Y20</f>
        <v>0</v>
      </c>
      <c r="AA20" s="97"/>
      <c r="AB20" s="113"/>
      <c r="AC20" s="113"/>
      <c r="AD20" s="111">
        <f t="shared" ref="AD20:AD29" si="22">AB20+AC20</f>
        <v>0</v>
      </c>
      <c r="AE20" s="113"/>
      <c r="AF20" s="113"/>
      <c r="AG20" s="111">
        <f t="shared" ref="AG20:AG29" si="23">AE20+AF20</f>
        <v>0</v>
      </c>
      <c r="AH20" s="97"/>
      <c r="AI20" s="112">
        <f t="shared" ref="AI20:AI29" si="24">I20+P20+W20+AD20</f>
        <v>13</v>
      </c>
      <c r="AJ20" s="112">
        <f t="shared" ref="AJ20:AJ29" si="25">L20+S20+Z20+AG20</f>
        <v>2</v>
      </c>
    </row>
    <row r="21" ht="22.5" customHeight="1">
      <c r="A21" s="20">
        <v>2.0</v>
      </c>
      <c r="B21" s="20" t="s">
        <v>174</v>
      </c>
      <c r="C21" s="93" t="s">
        <v>175</v>
      </c>
      <c r="D21" s="20" t="s">
        <v>777</v>
      </c>
      <c r="E21" s="20" t="s">
        <v>180</v>
      </c>
      <c r="F21" s="20" t="s">
        <v>122</v>
      </c>
      <c r="G21" s="105">
        <v>0.0</v>
      </c>
      <c r="H21" s="105">
        <v>9.0</v>
      </c>
      <c r="I21" s="95">
        <f t="shared" si="16"/>
        <v>9</v>
      </c>
      <c r="J21" s="94"/>
      <c r="K21" s="94">
        <v>6.0</v>
      </c>
      <c r="L21" s="111">
        <f t="shared" si="17"/>
        <v>6</v>
      </c>
      <c r="M21" s="106"/>
      <c r="N21" s="94">
        <v>0.0</v>
      </c>
      <c r="O21" s="94">
        <v>8.0</v>
      </c>
      <c r="P21" s="111">
        <f t="shared" si="18"/>
        <v>8</v>
      </c>
      <c r="Q21" s="94"/>
      <c r="R21" s="94">
        <v>2.0</v>
      </c>
      <c r="S21" s="95">
        <f t="shared" si="19"/>
        <v>2</v>
      </c>
      <c r="T21" s="97"/>
      <c r="U21" s="99">
        <v>0.0</v>
      </c>
      <c r="V21" s="99">
        <v>1.0</v>
      </c>
      <c r="W21" s="95">
        <f t="shared" si="20"/>
        <v>1</v>
      </c>
      <c r="X21" s="99"/>
      <c r="Y21" s="99"/>
      <c r="Z21" s="111">
        <f t="shared" si="21"/>
        <v>0</v>
      </c>
      <c r="AA21" s="97"/>
      <c r="AB21" s="107">
        <v>0.0</v>
      </c>
      <c r="AC21" s="107">
        <v>3.0</v>
      </c>
      <c r="AD21" s="111">
        <f t="shared" si="22"/>
        <v>3</v>
      </c>
      <c r="AE21" s="107"/>
      <c r="AF21" s="107">
        <v>1.0</v>
      </c>
      <c r="AG21" s="111">
        <f t="shared" si="23"/>
        <v>1</v>
      </c>
      <c r="AH21" s="97"/>
      <c r="AI21" s="112">
        <f t="shared" si="24"/>
        <v>21</v>
      </c>
      <c r="AJ21" s="112">
        <f t="shared" si="25"/>
        <v>9</v>
      </c>
    </row>
    <row r="22" ht="22.5" customHeight="1">
      <c r="A22" s="20">
        <v>3.0</v>
      </c>
      <c r="B22" s="20" t="s">
        <v>181</v>
      </c>
      <c r="C22" s="93" t="s">
        <v>183</v>
      </c>
      <c r="D22" s="20" t="s">
        <v>777</v>
      </c>
      <c r="E22" s="18">
        <v>100.0</v>
      </c>
      <c r="F22" s="20" t="s">
        <v>116</v>
      </c>
      <c r="G22" s="105">
        <v>0.0</v>
      </c>
      <c r="H22" s="105">
        <v>2.0</v>
      </c>
      <c r="I22" s="95">
        <f t="shared" si="16"/>
        <v>2</v>
      </c>
      <c r="J22" s="98"/>
      <c r="K22" s="98"/>
      <c r="L22" s="111">
        <f t="shared" si="17"/>
        <v>0</v>
      </c>
      <c r="M22" s="106"/>
      <c r="N22" s="94">
        <v>0.0</v>
      </c>
      <c r="O22" s="94">
        <v>0.0</v>
      </c>
      <c r="P22" s="111">
        <f t="shared" si="18"/>
        <v>0</v>
      </c>
      <c r="Q22" s="98"/>
      <c r="R22" s="98"/>
      <c r="S22" s="111">
        <f t="shared" si="19"/>
        <v>0</v>
      </c>
      <c r="T22" s="106"/>
      <c r="U22" s="99">
        <v>0.0</v>
      </c>
      <c r="V22" s="99">
        <v>0.0</v>
      </c>
      <c r="W22" s="95">
        <f t="shared" si="20"/>
        <v>0</v>
      </c>
      <c r="X22" s="100"/>
      <c r="Y22" s="100"/>
      <c r="Z22" s="111">
        <f t="shared" si="21"/>
        <v>0</v>
      </c>
      <c r="AA22" s="106"/>
      <c r="AB22" s="113"/>
      <c r="AC22" s="113"/>
      <c r="AD22" s="111">
        <f t="shared" si="22"/>
        <v>0</v>
      </c>
      <c r="AE22" s="113"/>
      <c r="AF22" s="113"/>
      <c r="AG22" s="111">
        <f t="shared" si="23"/>
        <v>0</v>
      </c>
      <c r="AH22" s="97"/>
      <c r="AI22" s="112">
        <f t="shared" si="24"/>
        <v>2</v>
      </c>
      <c r="AJ22" s="112">
        <f t="shared" si="25"/>
        <v>0</v>
      </c>
    </row>
    <row r="23" ht="22.5" customHeight="1">
      <c r="A23" s="20">
        <v>4.0</v>
      </c>
      <c r="B23" s="20" t="s">
        <v>187</v>
      </c>
      <c r="C23" s="93" t="s">
        <v>188</v>
      </c>
      <c r="D23" s="20" t="s">
        <v>777</v>
      </c>
      <c r="E23" s="20" t="s">
        <v>190</v>
      </c>
      <c r="F23" s="20" t="s">
        <v>191</v>
      </c>
      <c r="G23" s="105">
        <v>0.0</v>
      </c>
      <c r="H23" s="105">
        <v>1.0</v>
      </c>
      <c r="I23" s="95">
        <f t="shared" si="16"/>
        <v>1</v>
      </c>
      <c r="J23" s="98"/>
      <c r="K23" s="98"/>
      <c r="L23" s="111">
        <f t="shared" si="17"/>
        <v>0</v>
      </c>
      <c r="M23" s="97"/>
      <c r="N23" s="94">
        <v>0.0</v>
      </c>
      <c r="O23" s="94">
        <v>0.0</v>
      </c>
      <c r="P23" s="111">
        <f t="shared" si="18"/>
        <v>0</v>
      </c>
      <c r="Q23" s="98"/>
      <c r="R23" s="98"/>
      <c r="S23" s="111">
        <f t="shared" si="19"/>
        <v>0</v>
      </c>
      <c r="T23" s="106"/>
      <c r="U23" s="99">
        <v>0.0</v>
      </c>
      <c r="V23" s="99">
        <v>0.0</v>
      </c>
      <c r="W23" s="95">
        <f t="shared" si="20"/>
        <v>0</v>
      </c>
      <c r="X23" s="100"/>
      <c r="Y23" s="100"/>
      <c r="Z23" s="111">
        <f t="shared" si="21"/>
        <v>0</v>
      </c>
      <c r="AA23" s="106"/>
      <c r="AB23" s="113"/>
      <c r="AC23" s="113"/>
      <c r="AD23" s="111">
        <f t="shared" si="22"/>
        <v>0</v>
      </c>
      <c r="AE23" s="113"/>
      <c r="AF23" s="113"/>
      <c r="AG23" s="111">
        <f t="shared" si="23"/>
        <v>0</v>
      </c>
      <c r="AH23" s="97"/>
      <c r="AI23" s="112">
        <f t="shared" si="24"/>
        <v>1</v>
      </c>
      <c r="AJ23" s="112">
        <f t="shared" si="25"/>
        <v>0</v>
      </c>
    </row>
    <row r="24" ht="22.5" customHeight="1">
      <c r="A24" s="20">
        <v>5.0</v>
      </c>
      <c r="B24" s="20" t="s">
        <v>193</v>
      </c>
      <c r="C24" s="93" t="s">
        <v>194</v>
      </c>
      <c r="D24" s="20" t="s">
        <v>777</v>
      </c>
      <c r="E24" s="20" t="s">
        <v>196</v>
      </c>
      <c r="F24" s="20" t="s">
        <v>198</v>
      </c>
      <c r="G24" s="105">
        <v>1.0</v>
      </c>
      <c r="H24" s="105">
        <v>4.0</v>
      </c>
      <c r="I24" s="95">
        <f t="shared" si="16"/>
        <v>5</v>
      </c>
      <c r="J24" s="98"/>
      <c r="K24" s="98"/>
      <c r="L24" s="111">
        <f t="shared" si="17"/>
        <v>0</v>
      </c>
      <c r="M24" s="97"/>
      <c r="N24" s="94">
        <v>0.0</v>
      </c>
      <c r="O24" s="94">
        <v>0.0</v>
      </c>
      <c r="P24" s="111">
        <f t="shared" si="18"/>
        <v>0</v>
      </c>
      <c r="Q24" s="98"/>
      <c r="R24" s="98"/>
      <c r="S24" s="111">
        <f t="shared" si="19"/>
        <v>0</v>
      </c>
      <c r="T24" s="97"/>
      <c r="U24" s="99">
        <v>0.0</v>
      </c>
      <c r="V24" s="99">
        <v>0.0</v>
      </c>
      <c r="W24" s="95">
        <f t="shared" si="20"/>
        <v>0</v>
      </c>
      <c r="X24" s="100"/>
      <c r="Y24" s="100"/>
      <c r="Z24" s="111">
        <f t="shared" si="21"/>
        <v>0</v>
      </c>
      <c r="AA24" s="97"/>
      <c r="AB24" s="113"/>
      <c r="AC24" s="113"/>
      <c r="AD24" s="111">
        <f t="shared" si="22"/>
        <v>0</v>
      </c>
      <c r="AE24" s="113"/>
      <c r="AF24" s="113"/>
      <c r="AG24" s="111">
        <f t="shared" si="23"/>
        <v>0</v>
      </c>
      <c r="AH24" s="97"/>
      <c r="AI24" s="112">
        <f t="shared" si="24"/>
        <v>5</v>
      </c>
      <c r="AJ24" s="112">
        <f t="shared" si="25"/>
        <v>0</v>
      </c>
    </row>
    <row r="25" ht="22.5" customHeight="1">
      <c r="A25" s="20">
        <v>6.0</v>
      </c>
      <c r="B25" s="20" t="s">
        <v>199</v>
      </c>
      <c r="C25" s="93" t="s">
        <v>200</v>
      </c>
      <c r="D25" s="20" t="s">
        <v>777</v>
      </c>
      <c r="E25" s="20" t="s">
        <v>203</v>
      </c>
      <c r="F25" s="20" t="s">
        <v>116</v>
      </c>
      <c r="G25" s="105">
        <v>1.0</v>
      </c>
      <c r="H25" s="105">
        <v>6.0</v>
      </c>
      <c r="I25" s="95">
        <f t="shared" si="16"/>
        <v>7</v>
      </c>
      <c r="J25" s="94">
        <v>1.0</v>
      </c>
      <c r="K25" s="94">
        <v>6.0</v>
      </c>
      <c r="L25" s="111">
        <f t="shared" si="17"/>
        <v>7</v>
      </c>
      <c r="M25" s="97"/>
      <c r="N25" s="94">
        <v>0.0</v>
      </c>
      <c r="O25" s="94">
        <v>0.0</v>
      </c>
      <c r="P25" s="111">
        <f t="shared" si="18"/>
        <v>0</v>
      </c>
      <c r="Q25" s="98"/>
      <c r="R25" s="98"/>
      <c r="S25" s="111">
        <f t="shared" si="19"/>
        <v>0</v>
      </c>
      <c r="T25" s="97"/>
      <c r="U25" s="99">
        <v>0.0</v>
      </c>
      <c r="V25" s="99">
        <v>0.0</v>
      </c>
      <c r="W25" s="95">
        <f t="shared" si="20"/>
        <v>0</v>
      </c>
      <c r="X25" s="100"/>
      <c r="Y25" s="100"/>
      <c r="Z25" s="111">
        <f t="shared" si="21"/>
        <v>0</v>
      </c>
      <c r="AA25" s="97"/>
      <c r="AB25" s="113"/>
      <c r="AC25" s="113"/>
      <c r="AD25" s="111">
        <f t="shared" si="22"/>
        <v>0</v>
      </c>
      <c r="AE25" s="113"/>
      <c r="AF25" s="113"/>
      <c r="AG25" s="111">
        <f t="shared" si="23"/>
        <v>0</v>
      </c>
      <c r="AH25" s="97"/>
      <c r="AI25" s="112">
        <f t="shared" si="24"/>
        <v>7</v>
      </c>
      <c r="AJ25" s="112">
        <f t="shared" si="25"/>
        <v>7</v>
      </c>
    </row>
    <row r="26" ht="22.5" customHeight="1">
      <c r="A26" s="20">
        <v>7.0</v>
      </c>
      <c r="B26" s="20" t="s">
        <v>205</v>
      </c>
      <c r="C26" s="93" t="s">
        <v>207</v>
      </c>
      <c r="D26" s="20" t="s">
        <v>777</v>
      </c>
      <c r="E26" s="20" t="s">
        <v>208</v>
      </c>
      <c r="F26" s="20" t="s">
        <v>116</v>
      </c>
      <c r="G26" s="105">
        <v>0.0</v>
      </c>
      <c r="H26" s="105">
        <v>4.0</v>
      </c>
      <c r="I26" s="95">
        <f t="shared" si="16"/>
        <v>4</v>
      </c>
      <c r="J26" s="98"/>
      <c r="K26" s="98"/>
      <c r="L26" s="111">
        <f t="shared" si="17"/>
        <v>0</v>
      </c>
      <c r="M26" s="106"/>
      <c r="N26" s="94">
        <v>0.0</v>
      </c>
      <c r="O26" s="94">
        <v>1.0</v>
      </c>
      <c r="P26" s="111">
        <f t="shared" si="18"/>
        <v>1</v>
      </c>
      <c r="Q26" s="98"/>
      <c r="R26" s="98"/>
      <c r="S26" s="111">
        <f t="shared" si="19"/>
        <v>0</v>
      </c>
      <c r="T26" s="97"/>
      <c r="U26" s="99">
        <v>0.0</v>
      </c>
      <c r="V26" s="99">
        <v>0.0</v>
      </c>
      <c r="W26" s="95">
        <f t="shared" si="20"/>
        <v>0</v>
      </c>
      <c r="X26" s="100"/>
      <c r="Y26" s="100"/>
      <c r="Z26" s="111">
        <f t="shared" si="21"/>
        <v>0</v>
      </c>
      <c r="AA26" s="97"/>
      <c r="AB26" s="113"/>
      <c r="AC26" s="113"/>
      <c r="AD26" s="111">
        <f t="shared" si="22"/>
        <v>0</v>
      </c>
      <c r="AE26" s="113"/>
      <c r="AF26" s="113"/>
      <c r="AG26" s="111">
        <f t="shared" si="23"/>
        <v>0</v>
      </c>
      <c r="AH26" s="97"/>
      <c r="AI26" s="112">
        <f t="shared" si="24"/>
        <v>5</v>
      </c>
      <c r="AJ26" s="112">
        <f t="shared" si="25"/>
        <v>0</v>
      </c>
    </row>
    <row r="27" ht="22.5" customHeight="1">
      <c r="A27" s="20">
        <v>8.0</v>
      </c>
      <c r="B27" s="20" t="s">
        <v>209</v>
      </c>
      <c r="C27" s="93" t="s">
        <v>210</v>
      </c>
      <c r="D27" s="20" t="s">
        <v>777</v>
      </c>
      <c r="E27" s="20" t="s">
        <v>219</v>
      </c>
      <c r="F27" s="20" t="s">
        <v>122</v>
      </c>
      <c r="G27" s="105">
        <v>4.0</v>
      </c>
      <c r="H27" s="105">
        <v>3.0</v>
      </c>
      <c r="I27" s="95">
        <f t="shared" si="16"/>
        <v>7</v>
      </c>
      <c r="J27" s="94">
        <v>3.0</v>
      </c>
      <c r="K27" s="94">
        <v>1.0</v>
      </c>
      <c r="L27" s="111">
        <f t="shared" si="17"/>
        <v>4</v>
      </c>
      <c r="M27" s="106"/>
      <c r="N27" s="94">
        <v>4.0</v>
      </c>
      <c r="O27" s="94">
        <v>3.0</v>
      </c>
      <c r="P27" s="111">
        <f t="shared" si="18"/>
        <v>7</v>
      </c>
      <c r="Q27" s="98"/>
      <c r="R27" s="94">
        <v>1.0</v>
      </c>
      <c r="S27" s="111">
        <f t="shared" si="19"/>
        <v>1</v>
      </c>
      <c r="T27" s="106"/>
      <c r="U27" s="99">
        <v>1.0</v>
      </c>
      <c r="V27" s="99">
        <v>4.0</v>
      </c>
      <c r="W27" s="95">
        <f t="shared" si="20"/>
        <v>5</v>
      </c>
      <c r="X27" s="99"/>
      <c r="Y27" s="99">
        <v>2.0</v>
      </c>
      <c r="Z27" s="111">
        <f t="shared" si="21"/>
        <v>2</v>
      </c>
      <c r="AA27" s="106"/>
      <c r="AB27" s="113"/>
      <c r="AC27" s="113"/>
      <c r="AD27" s="111">
        <f t="shared" si="22"/>
        <v>0</v>
      </c>
      <c r="AE27" s="113"/>
      <c r="AF27" s="113"/>
      <c r="AG27" s="111">
        <f t="shared" si="23"/>
        <v>0</v>
      </c>
      <c r="AH27" s="97"/>
      <c r="AI27" s="112">
        <f t="shared" si="24"/>
        <v>19</v>
      </c>
      <c r="AJ27" s="112">
        <f t="shared" si="25"/>
        <v>7</v>
      </c>
    </row>
    <row r="28" ht="22.5" customHeight="1">
      <c r="A28" s="20">
        <v>9.0</v>
      </c>
      <c r="B28" s="20" t="s">
        <v>225</v>
      </c>
      <c r="C28" s="93" t="s">
        <v>227</v>
      </c>
      <c r="D28" s="20" t="s">
        <v>777</v>
      </c>
      <c r="E28" s="20" t="s">
        <v>165</v>
      </c>
      <c r="F28" s="20" t="s">
        <v>116</v>
      </c>
      <c r="G28" s="94">
        <v>0.0</v>
      </c>
      <c r="H28" s="94">
        <v>0.0</v>
      </c>
      <c r="I28" s="95">
        <f t="shared" si="16"/>
        <v>0</v>
      </c>
      <c r="J28" s="98"/>
      <c r="K28" s="98"/>
      <c r="L28" s="111">
        <f t="shared" si="17"/>
        <v>0</v>
      </c>
      <c r="M28" s="106"/>
      <c r="N28" s="94">
        <v>0.0</v>
      </c>
      <c r="O28" s="94">
        <v>12.0</v>
      </c>
      <c r="P28" s="111">
        <f t="shared" si="18"/>
        <v>12</v>
      </c>
      <c r="Q28" s="98"/>
      <c r="R28" s="94">
        <v>1.0</v>
      </c>
      <c r="S28" s="111">
        <f t="shared" si="19"/>
        <v>1</v>
      </c>
      <c r="T28" s="106"/>
      <c r="U28" s="99">
        <v>0.0</v>
      </c>
      <c r="V28" s="99">
        <v>0.0</v>
      </c>
      <c r="W28" s="95">
        <f t="shared" si="20"/>
        <v>0</v>
      </c>
      <c r="X28" s="100"/>
      <c r="Y28" s="100"/>
      <c r="Z28" s="111">
        <f t="shared" si="21"/>
        <v>0</v>
      </c>
      <c r="AA28" s="106"/>
      <c r="AB28" s="113"/>
      <c r="AC28" s="113"/>
      <c r="AD28" s="111">
        <f t="shared" si="22"/>
        <v>0</v>
      </c>
      <c r="AE28" s="113"/>
      <c r="AF28" s="113"/>
      <c r="AG28" s="111">
        <f t="shared" si="23"/>
        <v>0</v>
      </c>
      <c r="AH28" s="97"/>
      <c r="AI28" s="112">
        <f t="shared" si="24"/>
        <v>12</v>
      </c>
      <c r="AJ28" s="112">
        <f t="shared" si="25"/>
        <v>1</v>
      </c>
    </row>
    <row r="29" ht="22.5" customHeight="1">
      <c r="A29" s="20">
        <v>10.0</v>
      </c>
      <c r="B29" s="20" t="s">
        <v>236</v>
      </c>
      <c r="C29" s="93" t="s">
        <v>237</v>
      </c>
      <c r="D29" s="18" t="s">
        <v>786</v>
      </c>
      <c r="E29" s="18" t="s">
        <v>245</v>
      </c>
      <c r="F29" s="20" t="s">
        <v>116</v>
      </c>
      <c r="G29" s="94">
        <v>0.0</v>
      </c>
      <c r="H29" s="94">
        <v>0.0</v>
      </c>
      <c r="I29" s="95">
        <f t="shared" si="16"/>
        <v>0</v>
      </c>
      <c r="J29" s="98"/>
      <c r="K29" s="98"/>
      <c r="L29" s="111">
        <f t="shared" si="17"/>
        <v>0</v>
      </c>
      <c r="M29" s="106"/>
      <c r="N29" s="94">
        <v>7.0</v>
      </c>
      <c r="O29" s="94">
        <v>0.0</v>
      </c>
      <c r="P29" s="111">
        <f t="shared" si="18"/>
        <v>7</v>
      </c>
      <c r="Q29" s="98"/>
      <c r="R29" s="98"/>
      <c r="S29" s="111">
        <f t="shared" si="19"/>
        <v>0</v>
      </c>
      <c r="T29" s="106"/>
      <c r="U29" s="99">
        <v>0.0</v>
      </c>
      <c r="V29" s="99">
        <v>0.0</v>
      </c>
      <c r="W29" s="95">
        <f t="shared" si="20"/>
        <v>0</v>
      </c>
      <c r="X29" s="100"/>
      <c r="Y29" s="100"/>
      <c r="Z29" s="111">
        <f t="shared" si="21"/>
        <v>0</v>
      </c>
      <c r="AA29" s="106"/>
      <c r="AB29" s="113"/>
      <c r="AC29" s="113"/>
      <c r="AD29" s="111">
        <f t="shared" si="22"/>
        <v>0</v>
      </c>
      <c r="AE29" s="113"/>
      <c r="AF29" s="113"/>
      <c r="AG29" s="111">
        <f t="shared" si="23"/>
        <v>0</v>
      </c>
      <c r="AH29" s="97"/>
      <c r="AI29" s="112">
        <f t="shared" si="24"/>
        <v>7</v>
      </c>
      <c r="AJ29" s="112">
        <f t="shared" si="25"/>
        <v>0</v>
      </c>
    </row>
    <row r="30" ht="22.5" customHeight="1">
      <c r="A30" s="21"/>
      <c r="B30" s="115" t="s">
        <v>252</v>
      </c>
      <c r="C30" s="21"/>
      <c r="D30" s="21"/>
      <c r="E30" s="21"/>
      <c r="F30" s="21"/>
      <c r="G30" s="94">
        <f t="shared" ref="G30:H30" si="26">G29+G28+G27+G26+G25+G24+G23+G22+G21+G20</f>
        <v>10</v>
      </c>
      <c r="H30" s="94">
        <f t="shared" si="26"/>
        <v>30</v>
      </c>
      <c r="I30" s="98">
        <f t="shared" ref="I30:L30" si="27">SUM(I20:I29)</f>
        <v>40</v>
      </c>
      <c r="J30" s="98">
        <f t="shared" si="27"/>
        <v>5</v>
      </c>
      <c r="K30" s="98">
        <f t="shared" si="27"/>
        <v>14</v>
      </c>
      <c r="L30" s="98">
        <f t="shared" si="27"/>
        <v>19</v>
      </c>
      <c r="M30" s="97"/>
      <c r="N30" s="98">
        <f>SUM(表格_2[Total Issues with In-Patch (on 70)])</f>
        <v>11</v>
      </c>
      <c r="O30" s="98">
        <f>SUM(表格_2[Total Issues without In-Patch (on 70)])</f>
        <v>24</v>
      </c>
      <c r="P30" s="98">
        <f t="shared" ref="P30:S30" si="28">SUM(P20:P29)</f>
        <v>35</v>
      </c>
      <c r="Q30" s="98">
        <f t="shared" si="28"/>
        <v>0</v>
      </c>
      <c r="R30" s="98">
        <f t="shared" si="28"/>
        <v>4</v>
      </c>
      <c r="S30" s="98">
        <f t="shared" si="28"/>
        <v>4</v>
      </c>
      <c r="T30" s="97"/>
      <c r="U30" s="98">
        <f t="shared" ref="U30:Z30" si="29">SUM(U20:U29)</f>
        <v>7</v>
      </c>
      <c r="V30" s="98">
        <f t="shared" si="29"/>
        <v>7</v>
      </c>
      <c r="W30" s="98">
        <f t="shared" si="29"/>
        <v>14</v>
      </c>
      <c r="X30" s="98">
        <f t="shared" si="29"/>
        <v>0</v>
      </c>
      <c r="Y30" s="98">
        <f t="shared" si="29"/>
        <v>2</v>
      </c>
      <c r="Z30" s="98">
        <f t="shared" si="29"/>
        <v>2</v>
      </c>
      <c r="AA30" s="97"/>
      <c r="AB30" s="100">
        <f>SUM(表格_2[Total Issues with In-Patch (on 25)])</f>
        <v>0</v>
      </c>
      <c r="AC30" s="100">
        <f>SUM(表格_2[Total Issues without In-Patch (on 25)])</f>
        <v>3</v>
      </c>
      <c r="AD30" s="100">
        <f>SUM(表格_2[Total Issues (on 25)])</f>
        <v>3</v>
      </c>
      <c r="AE30" s="99" t="s">
        <v>911</v>
      </c>
      <c r="AF30" s="99">
        <f>SUM(表格_2[Total F2P Without In-Patch (on 25)])</f>
        <v>1</v>
      </c>
      <c r="AG30" s="99">
        <f>SUM(表格_2[Total F2P (data: 25)])</f>
        <v>1</v>
      </c>
      <c r="AH30" s="103"/>
      <c r="AI30" s="104">
        <f>SUM(表格_2[Total Issues])</f>
        <v>92</v>
      </c>
      <c r="AJ30" s="104">
        <f>SUM(表格_2[Total F2P])</f>
        <v>26</v>
      </c>
    </row>
    <row r="33">
      <c r="A33" s="6" t="s">
        <v>912</v>
      </c>
    </row>
    <row r="35" ht="22.5" customHeight="1">
      <c r="A35" s="89" t="s">
        <v>12</v>
      </c>
      <c r="B35" s="89" t="s">
        <v>913</v>
      </c>
      <c r="C35" s="89" t="s">
        <v>914</v>
      </c>
      <c r="D35" s="89" t="s">
        <v>915</v>
      </c>
      <c r="E35" s="89" t="s">
        <v>916</v>
      </c>
      <c r="F35" s="89" t="s">
        <v>917</v>
      </c>
      <c r="G35" s="116" t="s">
        <v>24</v>
      </c>
      <c r="H35" s="117" t="s">
        <v>918</v>
      </c>
      <c r="I35" s="117" t="s">
        <v>919</v>
      </c>
    </row>
    <row r="36" ht="22.5" customHeight="1">
      <c r="A36" s="118">
        <v>1.0</v>
      </c>
      <c r="B36" s="118" t="s">
        <v>920</v>
      </c>
      <c r="C36" s="119">
        <f>G14+表格_2[[#TOTALS],[Total Issues with In-Patch (on 80)]]</f>
        <v>30</v>
      </c>
      <c r="D36" s="119">
        <f>H14+表格_2[[#TOTALS],[Total Issues without In-Patch (on 80)]]</f>
        <v>50</v>
      </c>
      <c r="E36" s="119">
        <f>J14+表格_2[[#TOTALS],[Total F2P In-Patch (on 80)]]</f>
        <v>15</v>
      </c>
      <c r="F36" s="119">
        <f>K14+表格_2[[#TOTALS],[Total F2P No In-Patch (on 80)]]</f>
        <v>18</v>
      </c>
      <c r="G36" s="119">
        <f>L14+表格_2[[#TOTALS],[Total F2P (on 80)]]</f>
        <v>33</v>
      </c>
      <c r="H36" s="120">
        <v>15.0</v>
      </c>
      <c r="I36" s="120">
        <v>1.0</v>
      </c>
    </row>
    <row r="37" ht="22.5" customHeight="1">
      <c r="A37" s="118">
        <v>2.0</v>
      </c>
      <c r="B37" s="118" t="s">
        <v>921</v>
      </c>
      <c r="C37" s="119">
        <f>N14+表格_2[[#TOTALS],[Total Issues with In-Patch (on 70)]]</f>
        <v>39</v>
      </c>
      <c r="D37" s="119">
        <f>O14+表格_2[[#TOTALS],[Total Issues without In-Patch (on 70)]]</f>
        <v>31</v>
      </c>
      <c r="E37" s="119">
        <f>Q14+表格_2[[#TOTALS],[Total F2P With In-Patch (on 70)]]</f>
        <v>1</v>
      </c>
      <c r="F37" s="119">
        <f>R14+表格_2[[#TOTALS],[Total F2P Without In-Patch (on 70)]]</f>
        <v>4</v>
      </c>
      <c r="G37" s="119">
        <f>S14+表格_2[[#TOTALS],[Total F2P (on 70)]]</f>
        <v>5</v>
      </c>
      <c r="H37" s="120">
        <v>2.0</v>
      </c>
      <c r="I37" s="120">
        <v>0.0</v>
      </c>
    </row>
    <row r="38" ht="22.5" customHeight="1">
      <c r="A38" s="118">
        <v>3.0</v>
      </c>
      <c r="B38" s="118" t="s">
        <v>922</v>
      </c>
      <c r="C38" s="119">
        <f>U14+表格_2[[#TOTALS],[Total Issues with In-Patch (on 50)]]</f>
        <v>37</v>
      </c>
      <c r="D38" s="119">
        <f>V14+表格_2[[#TOTALS],[Total Issues without In-Patch (on 50)]]</f>
        <v>13</v>
      </c>
      <c r="E38" s="119">
        <f>X14+表格_2[[#TOTALS],[Total F2P With In-Patch (on 50)]]</f>
        <v>18</v>
      </c>
      <c r="F38" s="119">
        <f>Y14+表格_2[[#TOTALS],[Total F2P Without In-Patch (on 50)]]</f>
        <v>4</v>
      </c>
      <c r="G38" s="119">
        <f>Z14+表格_2[[#TOTALS],[Total F2P (data: 50)]]</f>
        <v>22</v>
      </c>
      <c r="H38" s="120">
        <v>14.0</v>
      </c>
      <c r="I38" s="120">
        <v>0.0</v>
      </c>
    </row>
    <row r="39" ht="22.5" customHeight="1">
      <c r="A39" s="118">
        <v>4.0</v>
      </c>
      <c r="B39" s="118" t="s">
        <v>923</v>
      </c>
      <c r="C39" s="119">
        <f>AB14+表格_2[[#TOTALS],[Total Issues with In-Patch (on 25)]]</f>
        <v>0</v>
      </c>
      <c r="D39" s="119">
        <f>AC14+表格_2[[#TOTALS],[Total Issues without In-Patch (on 25)]]</f>
        <v>25</v>
      </c>
      <c r="E39" s="118">
        <v>0.0</v>
      </c>
      <c r="F39" s="119">
        <f>AF14+表格_2[[#TOTALS],[Total F2P Without In-Patch (on 25)]]</f>
        <v>3</v>
      </c>
      <c r="G39" s="119">
        <f>AG14+表格_2[[#TOTALS],[Total F2P (data: 25)]]</f>
        <v>3</v>
      </c>
      <c r="H39" s="120">
        <v>0.0</v>
      </c>
      <c r="I39" s="120">
        <v>0.0</v>
      </c>
    </row>
    <row r="40" ht="22.5" customHeight="1">
      <c r="B40" s="121" t="s">
        <v>252</v>
      </c>
      <c r="C40" s="119">
        <f t="shared" ref="C40:I40" si="30">SUM(C36:C39)</f>
        <v>106</v>
      </c>
      <c r="D40" s="119">
        <f t="shared" si="30"/>
        <v>119</v>
      </c>
      <c r="E40" s="119">
        <f t="shared" si="30"/>
        <v>34</v>
      </c>
      <c r="F40" s="119">
        <f t="shared" si="30"/>
        <v>29</v>
      </c>
      <c r="G40" s="119">
        <f t="shared" si="30"/>
        <v>63</v>
      </c>
      <c r="H40" s="119">
        <f t="shared" si="30"/>
        <v>31</v>
      </c>
      <c r="I40" s="119">
        <f t="shared" si="30"/>
        <v>1</v>
      </c>
    </row>
    <row r="42">
      <c r="A42" s="6"/>
      <c r="B42" s="6"/>
    </row>
    <row r="43">
      <c r="A43" s="6"/>
      <c r="B43" s="6"/>
    </row>
    <row r="44">
      <c r="A44" s="6" t="s">
        <v>924</v>
      </c>
    </row>
    <row r="46" ht="22.5" customHeight="1">
      <c r="A46" s="89" t="s">
        <v>12</v>
      </c>
      <c r="B46" s="89" t="s">
        <v>913</v>
      </c>
      <c r="C46" s="89" t="s">
        <v>925</v>
      </c>
      <c r="D46" s="89" t="s">
        <v>926</v>
      </c>
      <c r="E46" s="89" t="s">
        <v>927</v>
      </c>
      <c r="F46" s="89" t="s">
        <v>928</v>
      </c>
      <c r="G46" s="89" t="s">
        <v>929</v>
      </c>
      <c r="H46" s="89" t="s">
        <v>930</v>
      </c>
    </row>
    <row r="47" ht="22.5" customHeight="1">
      <c r="A47" s="118">
        <v>1.0</v>
      </c>
      <c r="B47" s="118" t="s">
        <v>920</v>
      </c>
      <c r="C47" s="118">
        <v>73.0</v>
      </c>
      <c r="D47" s="118">
        <v>23.0</v>
      </c>
      <c r="E47" s="118">
        <v>7.0</v>
      </c>
      <c r="F47" s="118">
        <v>0.0</v>
      </c>
      <c r="G47" s="118">
        <v>0.0</v>
      </c>
      <c r="H47" s="118">
        <v>0.0</v>
      </c>
    </row>
    <row r="48" ht="22.5" customHeight="1">
      <c r="A48" s="118">
        <v>2.0</v>
      </c>
      <c r="B48" s="118" t="s">
        <v>921</v>
      </c>
      <c r="C48" s="118">
        <v>53.0</v>
      </c>
      <c r="D48" s="118">
        <v>5.0</v>
      </c>
      <c r="E48" s="118">
        <v>8.0</v>
      </c>
      <c r="F48" s="118">
        <v>0.0</v>
      </c>
      <c r="G48" s="118">
        <v>9.0</v>
      </c>
      <c r="H48" s="118">
        <v>0.0</v>
      </c>
    </row>
    <row r="49" ht="22.5" customHeight="1">
      <c r="A49" s="118">
        <v>3.0</v>
      </c>
      <c r="B49" s="118" t="s">
        <v>922</v>
      </c>
      <c r="C49" s="118">
        <v>50.0</v>
      </c>
      <c r="D49" s="118">
        <v>16.0</v>
      </c>
      <c r="E49" s="118">
        <v>0.0</v>
      </c>
      <c r="F49" s="118">
        <v>0.0</v>
      </c>
      <c r="G49" s="118">
        <v>0.0</v>
      </c>
      <c r="H49" s="118">
        <v>0.0</v>
      </c>
    </row>
    <row r="50" ht="22.5" customHeight="1">
      <c r="A50" s="118">
        <v>4.0</v>
      </c>
      <c r="B50" s="118" t="s">
        <v>923</v>
      </c>
      <c r="C50" s="118">
        <v>24.0</v>
      </c>
      <c r="D50" s="118">
        <v>3.0</v>
      </c>
      <c r="E50" s="118">
        <v>1.0</v>
      </c>
      <c r="F50" s="118">
        <v>0.0</v>
      </c>
      <c r="G50" s="118">
        <v>0.0</v>
      </c>
      <c r="H50" s="118">
        <v>0.0</v>
      </c>
    </row>
    <row r="51" ht="22.5" customHeight="1">
      <c r="A51" s="122"/>
      <c r="B51" s="123" t="s">
        <v>252</v>
      </c>
      <c r="C51" s="122">
        <f t="shared" ref="C51:H51" si="31">SUM(C47:C50)</f>
        <v>200</v>
      </c>
      <c r="D51" s="122">
        <f t="shared" si="31"/>
        <v>47</v>
      </c>
      <c r="E51" s="122">
        <f t="shared" si="31"/>
        <v>16</v>
      </c>
      <c r="F51" s="122">
        <f t="shared" si="31"/>
        <v>0</v>
      </c>
      <c r="G51" s="122">
        <f t="shared" si="31"/>
        <v>9</v>
      </c>
      <c r="H51" s="122">
        <f t="shared" si="31"/>
        <v>0</v>
      </c>
    </row>
  </sheetData>
  <mergeCells count="6">
    <mergeCell ref="A1:B1"/>
    <mergeCell ref="I2:Z2"/>
    <mergeCell ref="A17:B17"/>
    <mergeCell ref="I18:Z18"/>
    <mergeCell ref="A33:B33"/>
    <mergeCell ref="A44:B44"/>
  </mergeCell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20"/>
    <hyperlink r:id="rId12" ref="C21"/>
    <hyperlink r:id="rId13" ref="C22"/>
    <hyperlink r:id="rId14" ref="C23"/>
    <hyperlink r:id="rId15" ref="C24"/>
    <hyperlink r:id="rId16" ref="C25"/>
    <hyperlink r:id="rId17" ref="C26"/>
    <hyperlink r:id="rId18" ref="C27"/>
    <hyperlink r:id="rId19" ref="C28"/>
    <hyperlink r:id="rId20" ref="C29"/>
  </hyperlinks>
  <drawing r:id="rId21"/>
  <tableParts count="4">
    <tablePart r:id="rId26"/>
    <tablePart r:id="rId27"/>
    <tablePart r:id="rId28"/>
    <tablePart r:id="rId2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3" max="13" width="5.75"/>
    <col customWidth="1" min="20" max="20" width="5.0"/>
    <col customWidth="1" min="27" max="27" width="4.0"/>
    <col customWidth="1" min="34" max="34" width="3.88"/>
  </cols>
  <sheetData>
    <row r="1">
      <c r="A1" s="6" t="s">
        <v>741</v>
      </c>
      <c r="C1" s="5"/>
      <c r="D1" s="5"/>
      <c r="E1" s="5"/>
      <c r="F1" s="5"/>
    </row>
    <row r="2">
      <c r="A2" s="6"/>
      <c r="B2" s="6"/>
      <c r="C2" s="6"/>
      <c r="D2" s="6"/>
      <c r="E2" s="6"/>
      <c r="F2" s="6"/>
      <c r="G2" s="88"/>
      <c r="H2" s="88"/>
      <c r="I2" s="88" t="s">
        <v>104</v>
      </c>
    </row>
    <row r="3" ht="22.5" customHeight="1">
      <c r="A3" s="89" t="s">
        <v>12</v>
      </c>
      <c r="B3" s="89" t="s">
        <v>97</v>
      </c>
      <c r="C3" s="89" t="s">
        <v>743</v>
      </c>
      <c r="D3" s="90" t="s">
        <v>744</v>
      </c>
      <c r="E3" s="89" t="s">
        <v>99</v>
      </c>
      <c r="F3" s="89" t="s">
        <v>100</v>
      </c>
      <c r="G3" s="90" t="s">
        <v>745</v>
      </c>
      <c r="H3" s="90" t="s">
        <v>746</v>
      </c>
      <c r="I3" s="89" t="s">
        <v>747</v>
      </c>
      <c r="J3" s="90" t="s">
        <v>748</v>
      </c>
      <c r="K3" s="90" t="s">
        <v>750</v>
      </c>
      <c r="L3" s="89" t="s">
        <v>751</v>
      </c>
      <c r="M3" s="91" t="s">
        <v>752</v>
      </c>
      <c r="N3" s="90" t="s">
        <v>753</v>
      </c>
      <c r="O3" s="90" t="s">
        <v>754</v>
      </c>
      <c r="P3" s="89" t="s">
        <v>755</v>
      </c>
      <c r="Q3" s="90" t="s">
        <v>756</v>
      </c>
      <c r="R3" s="90" t="s">
        <v>757</v>
      </c>
      <c r="S3" s="89" t="s">
        <v>758</v>
      </c>
      <c r="T3" s="91" t="s">
        <v>759</v>
      </c>
      <c r="U3" s="90" t="s">
        <v>760</v>
      </c>
      <c r="V3" s="90" t="s">
        <v>762</v>
      </c>
      <c r="W3" s="89" t="s">
        <v>763</v>
      </c>
      <c r="X3" s="90" t="s">
        <v>764</v>
      </c>
      <c r="Y3" s="90" t="s">
        <v>765</v>
      </c>
      <c r="Z3" s="89" t="s">
        <v>766</v>
      </c>
      <c r="AA3" s="91" t="s">
        <v>767</v>
      </c>
      <c r="AB3" s="90" t="s">
        <v>768</v>
      </c>
      <c r="AC3" s="90" t="s">
        <v>769</v>
      </c>
      <c r="AD3" s="89" t="s">
        <v>771</v>
      </c>
      <c r="AE3" s="90" t="s">
        <v>772</v>
      </c>
      <c r="AF3" s="90" t="s">
        <v>773</v>
      </c>
      <c r="AG3" s="89" t="s">
        <v>774</v>
      </c>
      <c r="AH3" s="91" t="s">
        <v>775</v>
      </c>
      <c r="AI3" s="92" t="s">
        <v>103</v>
      </c>
      <c r="AJ3" s="92" t="s">
        <v>24</v>
      </c>
    </row>
    <row r="4" ht="22.5" customHeight="1">
      <c r="A4" s="20">
        <v>1.0</v>
      </c>
      <c r="B4" s="20" t="s">
        <v>112</v>
      </c>
      <c r="C4" s="93" t="s">
        <v>114</v>
      </c>
      <c r="D4" s="20" t="s">
        <v>777</v>
      </c>
      <c r="E4" s="18">
        <v>650.0</v>
      </c>
      <c r="F4" s="20" t="s">
        <v>116</v>
      </c>
      <c r="G4" s="94">
        <v>1.0</v>
      </c>
      <c r="H4" s="94">
        <v>2.0</v>
      </c>
      <c r="I4" s="95">
        <f t="shared" ref="I4:I13" si="1">G4+H4</f>
        <v>3</v>
      </c>
      <c r="J4" s="94"/>
      <c r="K4" s="94">
        <v>2.0</v>
      </c>
      <c r="L4" s="95">
        <f t="shared" ref="L4:L13" si="2">J4+K4</f>
        <v>2</v>
      </c>
      <c r="M4" s="97"/>
      <c r="N4" s="94">
        <v>0.0</v>
      </c>
      <c r="O4" s="94">
        <v>0.0</v>
      </c>
      <c r="P4" s="95">
        <f t="shared" ref="P4:P13" si="3">N4+O4</f>
        <v>0</v>
      </c>
      <c r="Q4" s="98"/>
      <c r="R4" s="98"/>
      <c r="S4" s="95">
        <f t="shared" ref="S4:S13" si="4">Q4+R4</f>
        <v>0</v>
      </c>
      <c r="T4" s="97"/>
      <c r="U4" s="99">
        <v>0.0</v>
      </c>
      <c r="V4" s="99">
        <v>0.0</v>
      </c>
      <c r="W4" s="95">
        <f t="shared" ref="W4:W13" si="5">U4+V4</f>
        <v>0</v>
      </c>
      <c r="X4" s="100"/>
      <c r="Y4" s="100"/>
      <c r="Z4" s="95">
        <f t="shared" ref="Z4:Z13" si="6">X4+Y4</f>
        <v>0</v>
      </c>
      <c r="AA4" s="97"/>
      <c r="AB4" s="101"/>
      <c r="AC4" s="101"/>
      <c r="AD4" s="102">
        <f t="shared" ref="AD4:AD13" si="7">AB4+AC4</f>
        <v>0</v>
      </c>
      <c r="AE4" s="101"/>
      <c r="AF4" s="101"/>
      <c r="AG4" s="102">
        <f t="shared" ref="AG4:AG13" si="8">AE4+AF4</f>
        <v>0</v>
      </c>
      <c r="AH4" s="103"/>
      <c r="AI4" s="104">
        <f t="shared" ref="AI4:AI13" si="9">I4+P4+W4+AD4</f>
        <v>3</v>
      </c>
      <c r="AJ4" s="104">
        <f t="shared" ref="AJ4:AJ13" si="10">L4+S4+Z4+AG4</f>
        <v>2</v>
      </c>
    </row>
    <row r="5" ht="22.5" customHeight="1">
      <c r="A5" s="20">
        <v>2.0</v>
      </c>
      <c r="B5" s="20" t="s">
        <v>118</v>
      </c>
      <c r="C5" s="93" t="s">
        <v>119</v>
      </c>
      <c r="D5" s="20" t="s">
        <v>786</v>
      </c>
      <c r="E5" s="20" t="s">
        <v>121</v>
      </c>
      <c r="F5" s="20" t="s">
        <v>122</v>
      </c>
      <c r="G5" s="94">
        <v>0.0</v>
      </c>
      <c r="H5" s="94">
        <v>1.0</v>
      </c>
      <c r="I5" s="95">
        <f t="shared" si="1"/>
        <v>1</v>
      </c>
      <c r="J5" s="98"/>
      <c r="K5" s="98"/>
      <c r="L5" s="95">
        <f t="shared" si="2"/>
        <v>0</v>
      </c>
      <c r="M5" s="97"/>
      <c r="N5" s="94">
        <v>0.0</v>
      </c>
      <c r="O5" s="94">
        <v>0.0</v>
      </c>
      <c r="P5" s="95">
        <f t="shared" si="3"/>
        <v>0</v>
      </c>
      <c r="Q5" s="98"/>
      <c r="R5" s="98"/>
      <c r="S5" s="95">
        <f t="shared" si="4"/>
        <v>0</v>
      </c>
      <c r="T5" s="97"/>
      <c r="U5" s="99">
        <v>0.0</v>
      </c>
      <c r="V5" s="99">
        <v>0.0</v>
      </c>
      <c r="W5" s="95">
        <f t="shared" si="5"/>
        <v>0</v>
      </c>
      <c r="X5" s="100"/>
      <c r="Y5" s="100"/>
      <c r="Z5" s="95">
        <f t="shared" si="6"/>
        <v>0</v>
      </c>
      <c r="AA5" s="97"/>
      <c r="AB5" s="101"/>
      <c r="AC5" s="101"/>
      <c r="AD5" s="102">
        <f t="shared" si="7"/>
        <v>0</v>
      </c>
      <c r="AE5" s="101"/>
      <c r="AF5" s="101"/>
      <c r="AG5" s="102">
        <f t="shared" si="8"/>
        <v>0</v>
      </c>
      <c r="AH5" s="103"/>
      <c r="AI5" s="104">
        <f t="shared" si="9"/>
        <v>1</v>
      </c>
      <c r="AJ5" s="104">
        <f t="shared" si="10"/>
        <v>0</v>
      </c>
    </row>
    <row r="6" ht="22.5" customHeight="1">
      <c r="A6" s="20">
        <v>3.0</v>
      </c>
      <c r="B6" s="20" t="s">
        <v>123</v>
      </c>
      <c r="C6" s="93" t="s">
        <v>124</v>
      </c>
      <c r="D6" s="20" t="s">
        <v>777</v>
      </c>
      <c r="E6" s="20" t="s">
        <v>127</v>
      </c>
      <c r="F6" s="20" t="s">
        <v>116</v>
      </c>
      <c r="G6" s="105">
        <v>4.0</v>
      </c>
      <c r="H6" s="105">
        <v>8.0</v>
      </c>
      <c r="I6" s="95">
        <f t="shared" si="1"/>
        <v>12</v>
      </c>
      <c r="J6" s="94">
        <v>4.0</v>
      </c>
      <c r="K6" s="94">
        <v>2.0</v>
      </c>
      <c r="L6" s="95">
        <f t="shared" si="2"/>
        <v>6</v>
      </c>
      <c r="M6" s="106"/>
      <c r="N6" s="94">
        <v>2.0</v>
      </c>
      <c r="O6" s="94">
        <v>0.0</v>
      </c>
      <c r="P6" s="95">
        <f t="shared" si="3"/>
        <v>2</v>
      </c>
      <c r="Q6" s="94">
        <v>1.0</v>
      </c>
      <c r="R6" s="94"/>
      <c r="S6" s="95">
        <f t="shared" si="4"/>
        <v>1</v>
      </c>
      <c r="T6" s="106"/>
      <c r="U6" s="99">
        <v>4.0</v>
      </c>
      <c r="V6" s="99">
        <v>6.0</v>
      </c>
      <c r="W6" s="95">
        <f t="shared" si="5"/>
        <v>10</v>
      </c>
      <c r="X6" s="99">
        <v>3.0</v>
      </c>
      <c r="Y6" s="99"/>
      <c r="Z6" s="95">
        <f t="shared" si="6"/>
        <v>3</v>
      </c>
      <c r="AA6" s="106"/>
      <c r="AB6" s="107">
        <v>0.0</v>
      </c>
      <c r="AC6" s="107">
        <v>5.0</v>
      </c>
      <c r="AD6" s="102">
        <f t="shared" si="7"/>
        <v>5</v>
      </c>
      <c r="AE6" s="107"/>
      <c r="AF6" s="107"/>
      <c r="AG6" s="102">
        <f t="shared" si="8"/>
        <v>0</v>
      </c>
      <c r="AH6" s="103"/>
      <c r="AI6" s="104">
        <f t="shared" si="9"/>
        <v>29</v>
      </c>
      <c r="AJ6" s="104">
        <f t="shared" si="10"/>
        <v>10</v>
      </c>
    </row>
    <row r="7" ht="22.5" customHeight="1">
      <c r="A7" s="20">
        <v>4.0</v>
      </c>
      <c r="B7" s="20" t="s">
        <v>128</v>
      </c>
      <c r="C7" s="93" t="s">
        <v>129</v>
      </c>
      <c r="D7" s="20" t="s">
        <v>777</v>
      </c>
      <c r="E7" s="20" t="s">
        <v>132</v>
      </c>
      <c r="F7" s="20" t="s">
        <v>122</v>
      </c>
      <c r="G7" s="94">
        <v>2.0</v>
      </c>
      <c r="H7" s="94">
        <v>5.0</v>
      </c>
      <c r="I7" s="95">
        <f t="shared" si="1"/>
        <v>7</v>
      </c>
      <c r="J7" s="94">
        <v>1.0</v>
      </c>
      <c r="K7" s="94"/>
      <c r="L7" s="95">
        <f t="shared" si="2"/>
        <v>1</v>
      </c>
      <c r="M7" s="106"/>
      <c r="N7" s="94">
        <v>0.0</v>
      </c>
      <c r="O7" s="94">
        <v>0.0</v>
      </c>
      <c r="P7" s="95">
        <f t="shared" si="3"/>
        <v>0</v>
      </c>
      <c r="Q7" s="98"/>
      <c r="R7" s="98"/>
      <c r="S7" s="95">
        <f t="shared" si="4"/>
        <v>0</v>
      </c>
      <c r="T7" s="106"/>
      <c r="U7" s="99">
        <v>26.0</v>
      </c>
      <c r="V7" s="99">
        <v>0.0</v>
      </c>
      <c r="W7" s="95">
        <f t="shared" si="5"/>
        <v>26</v>
      </c>
      <c r="X7" s="99">
        <v>3.0</v>
      </c>
      <c r="Y7" s="99"/>
      <c r="Z7" s="95">
        <f t="shared" si="6"/>
        <v>3</v>
      </c>
      <c r="AA7" s="106"/>
      <c r="AB7" s="107">
        <v>0.0</v>
      </c>
      <c r="AC7" s="107">
        <v>16.0</v>
      </c>
      <c r="AD7" s="102">
        <f t="shared" si="7"/>
        <v>16</v>
      </c>
      <c r="AE7" s="107"/>
      <c r="AF7" s="107"/>
      <c r="AG7" s="102">
        <f t="shared" si="8"/>
        <v>0</v>
      </c>
      <c r="AH7" s="103"/>
      <c r="AI7" s="104">
        <f t="shared" si="9"/>
        <v>49</v>
      </c>
      <c r="AJ7" s="104">
        <f t="shared" si="10"/>
        <v>4</v>
      </c>
    </row>
    <row r="8" ht="22.5" customHeight="1">
      <c r="A8" s="20">
        <v>5.0</v>
      </c>
      <c r="B8" s="20" t="s">
        <v>134</v>
      </c>
      <c r="C8" s="93" t="s">
        <v>136</v>
      </c>
      <c r="D8" s="20" t="s">
        <v>777</v>
      </c>
      <c r="E8" s="20" t="s">
        <v>137</v>
      </c>
      <c r="F8" s="20" t="s">
        <v>116</v>
      </c>
      <c r="G8" s="94">
        <v>1.0</v>
      </c>
      <c r="H8" s="94">
        <v>0.0</v>
      </c>
      <c r="I8" s="95">
        <f t="shared" si="1"/>
        <v>1</v>
      </c>
      <c r="J8" s="94">
        <v>1.0</v>
      </c>
      <c r="K8" s="94"/>
      <c r="L8" s="95">
        <f t="shared" si="2"/>
        <v>1</v>
      </c>
      <c r="M8" s="97"/>
      <c r="N8" s="94">
        <v>0.0</v>
      </c>
      <c r="O8" s="94">
        <v>0.0</v>
      </c>
      <c r="P8" s="95">
        <f t="shared" si="3"/>
        <v>0</v>
      </c>
      <c r="Q8" s="98"/>
      <c r="R8" s="98"/>
      <c r="S8" s="95">
        <f t="shared" si="4"/>
        <v>0</v>
      </c>
      <c r="T8" s="97"/>
      <c r="U8" s="99">
        <v>0.0</v>
      </c>
      <c r="V8" s="99">
        <v>0.0</v>
      </c>
      <c r="W8" s="95">
        <f t="shared" si="5"/>
        <v>0</v>
      </c>
      <c r="X8" s="100"/>
      <c r="Y8" s="100"/>
      <c r="Z8" s="95">
        <f t="shared" si="6"/>
        <v>0</v>
      </c>
      <c r="AA8" s="97"/>
      <c r="AB8" s="101"/>
      <c r="AC8" s="101"/>
      <c r="AD8" s="102">
        <f t="shared" si="7"/>
        <v>0</v>
      </c>
      <c r="AE8" s="101"/>
      <c r="AF8" s="101"/>
      <c r="AG8" s="102">
        <f t="shared" si="8"/>
        <v>0</v>
      </c>
      <c r="AH8" s="103"/>
      <c r="AI8" s="104">
        <f t="shared" si="9"/>
        <v>1</v>
      </c>
      <c r="AJ8" s="104">
        <f t="shared" si="10"/>
        <v>1</v>
      </c>
    </row>
    <row r="9" ht="22.5" customHeight="1">
      <c r="A9" s="20">
        <v>6.0</v>
      </c>
      <c r="B9" s="20" t="s">
        <v>139</v>
      </c>
      <c r="C9" s="93" t="s">
        <v>140</v>
      </c>
      <c r="D9" s="20" t="s">
        <v>786</v>
      </c>
      <c r="E9" s="20" t="s">
        <v>127</v>
      </c>
      <c r="F9" s="20" t="s">
        <v>116</v>
      </c>
      <c r="G9" s="94">
        <v>0.0</v>
      </c>
      <c r="H9" s="94">
        <v>2.0</v>
      </c>
      <c r="I9" s="95">
        <f t="shared" si="1"/>
        <v>2</v>
      </c>
      <c r="J9" s="98"/>
      <c r="K9" s="98"/>
      <c r="L9" s="95">
        <f t="shared" si="2"/>
        <v>0</v>
      </c>
      <c r="M9" s="97"/>
      <c r="N9" s="94">
        <v>0.0</v>
      </c>
      <c r="O9" s="94">
        <v>0.0</v>
      </c>
      <c r="P9" s="95">
        <f t="shared" si="3"/>
        <v>0</v>
      </c>
      <c r="Q9" s="98"/>
      <c r="R9" s="98"/>
      <c r="S9" s="95">
        <f t="shared" si="4"/>
        <v>0</v>
      </c>
      <c r="T9" s="97"/>
      <c r="U9" s="99">
        <v>0.0</v>
      </c>
      <c r="V9" s="99">
        <v>0.0</v>
      </c>
      <c r="W9" s="95">
        <f t="shared" si="5"/>
        <v>0</v>
      </c>
      <c r="X9" s="100"/>
      <c r="Y9" s="100"/>
      <c r="Z9" s="95">
        <f t="shared" si="6"/>
        <v>0</v>
      </c>
      <c r="AA9" s="97"/>
      <c r="AB9" s="107">
        <v>0.0</v>
      </c>
      <c r="AC9" s="107">
        <v>1.0</v>
      </c>
      <c r="AD9" s="102">
        <f t="shared" si="7"/>
        <v>1</v>
      </c>
      <c r="AE9" s="101"/>
      <c r="AF9" s="101"/>
      <c r="AG9" s="102">
        <f t="shared" si="8"/>
        <v>0</v>
      </c>
      <c r="AH9" s="103"/>
      <c r="AI9" s="104">
        <f t="shared" si="9"/>
        <v>3</v>
      </c>
      <c r="AJ9" s="104">
        <f t="shared" si="10"/>
        <v>0</v>
      </c>
    </row>
    <row r="10" ht="22.5" customHeight="1">
      <c r="A10" s="20">
        <v>7.0</v>
      </c>
      <c r="B10" s="20" t="s">
        <v>144</v>
      </c>
      <c r="C10" s="93" t="s">
        <v>145</v>
      </c>
      <c r="D10" s="20" t="s">
        <v>777</v>
      </c>
      <c r="E10" s="20" t="s">
        <v>147</v>
      </c>
      <c r="F10" s="20" t="s">
        <v>122</v>
      </c>
      <c r="G10" s="108">
        <v>11.0</v>
      </c>
      <c r="H10" s="108">
        <v>2.0</v>
      </c>
      <c r="I10" s="95">
        <f t="shared" si="1"/>
        <v>13</v>
      </c>
      <c r="J10" s="94">
        <v>4.0</v>
      </c>
      <c r="K10" s="98"/>
      <c r="L10" s="95">
        <f t="shared" si="2"/>
        <v>4</v>
      </c>
      <c r="M10" s="97"/>
      <c r="N10" s="94">
        <v>0.0</v>
      </c>
      <c r="O10" s="94">
        <v>0.0</v>
      </c>
      <c r="P10" s="95">
        <f t="shared" si="3"/>
        <v>0</v>
      </c>
      <c r="Q10" s="98"/>
      <c r="R10" s="98"/>
      <c r="S10" s="95">
        <f t="shared" si="4"/>
        <v>0</v>
      </c>
      <c r="T10" s="97"/>
      <c r="U10" s="99">
        <v>0.0</v>
      </c>
      <c r="V10" s="99">
        <v>0.0</v>
      </c>
      <c r="W10" s="95">
        <f t="shared" si="5"/>
        <v>0</v>
      </c>
      <c r="X10" s="100"/>
      <c r="Y10" s="100"/>
      <c r="Z10" s="95">
        <f t="shared" si="6"/>
        <v>0</v>
      </c>
      <c r="AA10" s="97"/>
      <c r="AB10" s="101"/>
      <c r="AC10" s="101"/>
      <c r="AD10" s="102">
        <f t="shared" si="7"/>
        <v>0</v>
      </c>
      <c r="AE10" s="101"/>
      <c r="AF10" s="101"/>
      <c r="AG10" s="102">
        <f t="shared" si="8"/>
        <v>0</v>
      </c>
      <c r="AH10" s="103"/>
      <c r="AI10" s="104">
        <f t="shared" si="9"/>
        <v>13</v>
      </c>
      <c r="AJ10" s="104">
        <f t="shared" si="10"/>
        <v>4</v>
      </c>
    </row>
    <row r="11" ht="22.5" customHeight="1">
      <c r="A11" s="20">
        <v>8.0</v>
      </c>
      <c r="B11" s="20" t="s">
        <v>148</v>
      </c>
      <c r="C11" s="93" t="s">
        <v>149</v>
      </c>
      <c r="D11" s="20" t="s">
        <v>777</v>
      </c>
      <c r="E11" s="20" t="s">
        <v>151</v>
      </c>
      <c r="F11" s="20" t="s">
        <v>122</v>
      </c>
      <c r="G11" s="94">
        <v>0.0</v>
      </c>
      <c r="H11" s="94">
        <v>0.0</v>
      </c>
      <c r="I11" s="95">
        <f t="shared" si="1"/>
        <v>0</v>
      </c>
      <c r="J11" s="98"/>
      <c r="K11" s="98"/>
      <c r="L11" s="95">
        <f t="shared" si="2"/>
        <v>0</v>
      </c>
      <c r="M11" s="106"/>
      <c r="N11" s="94">
        <v>9.0</v>
      </c>
      <c r="O11" s="94">
        <v>2.0</v>
      </c>
      <c r="P11" s="95">
        <f t="shared" si="3"/>
        <v>11</v>
      </c>
      <c r="Q11" s="98"/>
      <c r="R11" s="98"/>
      <c r="S11" s="95">
        <f t="shared" si="4"/>
        <v>0</v>
      </c>
      <c r="T11" s="106"/>
      <c r="U11" s="99">
        <v>0.0</v>
      </c>
      <c r="V11" s="99">
        <v>0.0</v>
      </c>
      <c r="W11" s="95">
        <f t="shared" si="5"/>
        <v>0</v>
      </c>
      <c r="X11" s="100"/>
      <c r="Y11" s="100"/>
      <c r="Z11" s="95">
        <f t="shared" si="6"/>
        <v>0</v>
      </c>
      <c r="AA11" s="106"/>
      <c r="AB11" s="101"/>
      <c r="AC11" s="101"/>
      <c r="AD11" s="102">
        <f t="shared" si="7"/>
        <v>0</v>
      </c>
      <c r="AE11" s="101"/>
      <c r="AF11" s="101"/>
      <c r="AG11" s="102">
        <f t="shared" si="8"/>
        <v>0</v>
      </c>
      <c r="AH11" s="103"/>
      <c r="AI11" s="104">
        <f t="shared" si="9"/>
        <v>11</v>
      </c>
      <c r="AJ11" s="104">
        <f t="shared" si="10"/>
        <v>0</v>
      </c>
    </row>
    <row r="12" ht="22.5" customHeight="1">
      <c r="A12" s="20">
        <v>9.0</v>
      </c>
      <c r="B12" s="20" t="s">
        <v>154</v>
      </c>
      <c r="C12" s="93" t="s">
        <v>155</v>
      </c>
      <c r="D12" s="20" t="s">
        <v>777</v>
      </c>
      <c r="E12" s="20" t="s">
        <v>159</v>
      </c>
      <c r="F12" s="20" t="s">
        <v>122</v>
      </c>
      <c r="G12" s="94">
        <v>1.0</v>
      </c>
      <c r="H12" s="94">
        <v>0.0</v>
      </c>
      <c r="I12" s="95">
        <f t="shared" si="1"/>
        <v>1</v>
      </c>
      <c r="J12" s="98"/>
      <c r="K12" s="98"/>
      <c r="L12" s="95">
        <f t="shared" si="2"/>
        <v>0</v>
      </c>
      <c r="M12" s="106"/>
      <c r="N12" s="94">
        <v>6.0</v>
      </c>
      <c r="O12" s="94">
        <v>5.0</v>
      </c>
      <c r="P12" s="95">
        <f t="shared" si="3"/>
        <v>11</v>
      </c>
      <c r="Q12" s="98"/>
      <c r="R12" s="98"/>
      <c r="S12" s="95">
        <f t="shared" si="4"/>
        <v>0</v>
      </c>
      <c r="T12" s="106"/>
      <c r="U12" s="99">
        <v>0.0</v>
      </c>
      <c r="V12" s="99">
        <v>0.0</v>
      </c>
      <c r="W12" s="95">
        <f t="shared" si="5"/>
        <v>0</v>
      </c>
      <c r="X12" s="100"/>
      <c r="Y12" s="100"/>
      <c r="Z12" s="95">
        <f t="shared" si="6"/>
        <v>0</v>
      </c>
      <c r="AA12" s="106"/>
      <c r="AB12" s="101"/>
      <c r="AC12" s="101"/>
      <c r="AD12" s="102">
        <f t="shared" si="7"/>
        <v>0</v>
      </c>
      <c r="AE12" s="101"/>
      <c r="AF12" s="101"/>
      <c r="AG12" s="102">
        <f t="shared" si="8"/>
        <v>0</v>
      </c>
      <c r="AH12" s="103"/>
      <c r="AI12" s="104">
        <f t="shared" si="9"/>
        <v>12</v>
      </c>
      <c r="AJ12" s="104">
        <f t="shared" si="10"/>
        <v>0</v>
      </c>
    </row>
    <row r="13" ht="22.5" customHeight="1">
      <c r="A13" s="20">
        <v>10.0</v>
      </c>
      <c r="B13" s="20" t="s">
        <v>161</v>
      </c>
      <c r="C13" s="93" t="s">
        <v>162</v>
      </c>
      <c r="D13" s="20" t="s">
        <v>851</v>
      </c>
      <c r="E13" s="20" t="s">
        <v>165</v>
      </c>
      <c r="F13" s="20" t="s">
        <v>116</v>
      </c>
      <c r="G13" s="94">
        <v>0.0</v>
      </c>
      <c r="H13" s="94">
        <v>0.0</v>
      </c>
      <c r="I13" s="95">
        <f t="shared" si="1"/>
        <v>0</v>
      </c>
      <c r="J13" s="98"/>
      <c r="K13" s="98"/>
      <c r="L13" s="95">
        <f t="shared" si="2"/>
        <v>0</v>
      </c>
      <c r="M13" s="106"/>
      <c r="N13" s="94">
        <v>11.0</v>
      </c>
      <c r="O13" s="94">
        <v>0.0</v>
      </c>
      <c r="P13" s="95">
        <f t="shared" si="3"/>
        <v>11</v>
      </c>
      <c r="Q13" s="98"/>
      <c r="R13" s="98"/>
      <c r="S13" s="95">
        <f t="shared" si="4"/>
        <v>0</v>
      </c>
      <c r="T13" s="106"/>
      <c r="U13" s="99">
        <v>0.0</v>
      </c>
      <c r="V13" s="99">
        <v>0.0</v>
      </c>
      <c r="W13" s="95">
        <f t="shared" si="5"/>
        <v>0</v>
      </c>
      <c r="X13" s="100"/>
      <c r="Y13" s="100"/>
      <c r="Z13" s="95">
        <f t="shared" si="6"/>
        <v>0</v>
      </c>
      <c r="AA13" s="106"/>
      <c r="AB13" s="101"/>
      <c r="AC13" s="101"/>
      <c r="AD13" s="102">
        <f t="shared" si="7"/>
        <v>0</v>
      </c>
      <c r="AE13" s="101"/>
      <c r="AF13" s="101"/>
      <c r="AG13" s="102">
        <f t="shared" si="8"/>
        <v>0</v>
      </c>
      <c r="AH13" s="103"/>
      <c r="AI13" s="104">
        <f t="shared" si="9"/>
        <v>11</v>
      </c>
      <c r="AJ13" s="104">
        <f t="shared" si="10"/>
        <v>0</v>
      </c>
    </row>
    <row r="14" ht="22.5" customHeight="1">
      <c r="A14" s="109"/>
      <c r="B14" s="110" t="s">
        <v>252</v>
      </c>
      <c r="C14" s="109"/>
      <c r="D14" s="109"/>
      <c r="E14" s="109"/>
      <c r="F14" s="109"/>
      <c r="G14" s="111">
        <f t="shared" ref="G14:L14" si="11">SUM(G4:G13)</f>
        <v>20</v>
      </c>
      <c r="H14" s="111">
        <f t="shared" si="11"/>
        <v>20</v>
      </c>
      <c r="I14" s="111">
        <f t="shared" si="11"/>
        <v>40</v>
      </c>
      <c r="J14" s="111">
        <f t="shared" si="11"/>
        <v>10</v>
      </c>
      <c r="K14" s="111">
        <f t="shared" si="11"/>
        <v>4</v>
      </c>
      <c r="L14" s="111">
        <f t="shared" si="11"/>
        <v>14</v>
      </c>
      <c r="M14" s="97"/>
      <c r="N14" s="111">
        <f t="shared" ref="N14:S14" si="12">SUM(N4:N13)</f>
        <v>28</v>
      </c>
      <c r="O14" s="111">
        <f t="shared" si="12"/>
        <v>7</v>
      </c>
      <c r="P14" s="111">
        <f t="shared" si="12"/>
        <v>35</v>
      </c>
      <c r="Q14" s="111">
        <f t="shared" si="12"/>
        <v>1</v>
      </c>
      <c r="R14" s="111">
        <f t="shared" si="12"/>
        <v>0</v>
      </c>
      <c r="S14" s="111">
        <f t="shared" si="12"/>
        <v>1</v>
      </c>
      <c r="T14" s="97"/>
      <c r="U14" s="111">
        <f t="shared" ref="U14:Z14" si="13">SUM(U4:U13)</f>
        <v>30</v>
      </c>
      <c r="V14" s="111">
        <f t="shared" si="13"/>
        <v>6</v>
      </c>
      <c r="W14" s="111">
        <f t="shared" si="13"/>
        <v>36</v>
      </c>
      <c r="X14" s="111">
        <f t="shared" si="13"/>
        <v>6</v>
      </c>
      <c r="Y14" s="111">
        <f t="shared" si="13"/>
        <v>0</v>
      </c>
      <c r="Z14" s="111">
        <f t="shared" si="13"/>
        <v>6</v>
      </c>
      <c r="AA14" s="97"/>
      <c r="AB14" s="111">
        <f t="shared" ref="AB14:AG14" si="14">SUM(AB4:AB13)</f>
        <v>0</v>
      </c>
      <c r="AC14" s="111">
        <f t="shared" si="14"/>
        <v>22</v>
      </c>
      <c r="AD14" s="111">
        <f t="shared" si="14"/>
        <v>22</v>
      </c>
      <c r="AE14" s="111">
        <f t="shared" si="14"/>
        <v>0</v>
      </c>
      <c r="AF14" s="111">
        <f t="shared" si="14"/>
        <v>0</v>
      </c>
      <c r="AG14" s="111">
        <f t="shared" si="14"/>
        <v>0</v>
      </c>
      <c r="AH14" s="97"/>
      <c r="AI14" s="112">
        <f t="shared" ref="AI14:AJ14" si="15">SUM(AI4:AI13)</f>
        <v>133</v>
      </c>
      <c r="AJ14" s="112">
        <f t="shared" si="15"/>
        <v>21</v>
      </c>
    </row>
    <row r="15">
      <c r="A15" s="5"/>
    </row>
    <row r="16">
      <c r="A16" s="6"/>
    </row>
    <row r="17">
      <c r="A17" s="6" t="s">
        <v>873</v>
      </c>
    </row>
    <row r="18">
      <c r="A18" s="6"/>
      <c r="C18" s="6"/>
      <c r="D18" s="6"/>
      <c r="E18" s="6"/>
      <c r="F18" s="6"/>
      <c r="G18" s="88"/>
      <c r="H18" s="88"/>
      <c r="I18" s="88" t="s">
        <v>104</v>
      </c>
    </row>
    <row r="19" ht="22.5" customHeight="1">
      <c r="A19" s="89" t="s">
        <v>12</v>
      </c>
      <c r="B19" s="89" t="s">
        <v>97</v>
      </c>
      <c r="C19" s="89" t="s">
        <v>743</v>
      </c>
      <c r="D19" s="90" t="s">
        <v>744</v>
      </c>
      <c r="E19" s="89" t="s">
        <v>99</v>
      </c>
      <c r="F19" s="89" t="s">
        <v>100</v>
      </c>
      <c r="G19" s="90" t="s">
        <v>745</v>
      </c>
      <c r="H19" s="90" t="s">
        <v>746</v>
      </c>
      <c r="I19" s="89" t="s">
        <v>747</v>
      </c>
      <c r="J19" s="90" t="s">
        <v>876</v>
      </c>
      <c r="K19" s="90" t="s">
        <v>877</v>
      </c>
      <c r="L19" s="89" t="s">
        <v>751</v>
      </c>
      <c r="M19" s="91" t="s">
        <v>752</v>
      </c>
      <c r="N19" s="90" t="s">
        <v>753</v>
      </c>
      <c r="O19" s="90" t="s">
        <v>754</v>
      </c>
      <c r="P19" s="89" t="s">
        <v>755</v>
      </c>
      <c r="Q19" s="90" t="s">
        <v>756</v>
      </c>
      <c r="R19" s="90" t="s">
        <v>757</v>
      </c>
      <c r="S19" s="89" t="s">
        <v>758</v>
      </c>
      <c r="T19" s="91" t="s">
        <v>759</v>
      </c>
      <c r="U19" s="90" t="s">
        <v>760</v>
      </c>
      <c r="V19" s="90" t="s">
        <v>762</v>
      </c>
      <c r="W19" s="89" t="s">
        <v>763</v>
      </c>
      <c r="X19" s="90" t="s">
        <v>764</v>
      </c>
      <c r="Y19" s="90" t="s">
        <v>765</v>
      </c>
      <c r="Z19" s="89" t="s">
        <v>766</v>
      </c>
      <c r="AA19" s="91" t="s">
        <v>767</v>
      </c>
      <c r="AB19" s="90" t="s">
        <v>768</v>
      </c>
      <c r="AC19" s="90" t="s">
        <v>769</v>
      </c>
      <c r="AD19" s="89" t="s">
        <v>771</v>
      </c>
      <c r="AE19" s="90" t="s">
        <v>772</v>
      </c>
      <c r="AF19" s="90" t="s">
        <v>773</v>
      </c>
      <c r="AG19" s="89" t="s">
        <v>774</v>
      </c>
      <c r="AH19" s="91" t="s">
        <v>775</v>
      </c>
      <c r="AI19" s="92" t="s">
        <v>103</v>
      </c>
      <c r="AJ19" s="92" t="s">
        <v>24</v>
      </c>
    </row>
    <row r="20" ht="22.5" customHeight="1">
      <c r="A20" s="20">
        <v>1.0</v>
      </c>
      <c r="B20" s="20" t="s">
        <v>167</v>
      </c>
      <c r="C20" s="93" t="s">
        <v>168</v>
      </c>
      <c r="D20" s="20" t="s">
        <v>777</v>
      </c>
      <c r="E20" s="20" t="s">
        <v>171</v>
      </c>
      <c r="F20" s="20" t="s">
        <v>172</v>
      </c>
      <c r="G20" s="94">
        <v>4.0</v>
      </c>
      <c r="H20" s="94">
        <v>1.0</v>
      </c>
      <c r="I20" s="95">
        <f t="shared" ref="I20:I29" si="16">G20+H20</f>
        <v>5</v>
      </c>
      <c r="J20" s="94"/>
      <c r="K20" s="94"/>
      <c r="L20" s="111">
        <f t="shared" ref="L20:L29" si="17">J20+K20</f>
        <v>0</v>
      </c>
      <c r="M20" s="97"/>
      <c r="N20" s="94">
        <v>0.0</v>
      </c>
      <c r="O20" s="94">
        <v>0.0</v>
      </c>
      <c r="P20" s="111">
        <f t="shared" ref="P20:P29" si="18">N20+O20</f>
        <v>0</v>
      </c>
      <c r="Q20" s="98"/>
      <c r="R20" s="98"/>
      <c r="S20" s="111">
        <f t="shared" ref="S20:S29" si="19">Q20+R20</f>
        <v>0</v>
      </c>
      <c r="T20" s="97"/>
      <c r="U20" s="99">
        <v>6.0</v>
      </c>
      <c r="V20" s="99">
        <v>2.0</v>
      </c>
      <c r="W20" s="95">
        <f t="shared" ref="W20:W29" si="20">U20+V20</f>
        <v>8</v>
      </c>
      <c r="X20" s="100"/>
      <c r="Y20" s="100"/>
      <c r="Z20" s="111">
        <f t="shared" ref="Z20:Z29" si="21">X20+Y20</f>
        <v>0</v>
      </c>
      <c r="AA20" s="97"/>
      <c r="AB20" s="113"/>
      <c r="AC20" s="113"/>
      <c r="AD20" s="111">
        <f t="shared" ref="AD20:AD29" si="22">AB20+AC20</f>
        <v>0</v>
      </c>
      <c r="AE20" s="113"/>
      <c r="AF20" s="113"/>
      <c r="AG20" s="111">
        <f t="shared" ref="AG20:AG29" si="23">AE20+AF20</f>
        <v>0</v>
      </c>
      <c r="AH20" s="97"/>
      <c r="AI20" s="112">
        <f t="shared" ref="AI20:AI29" si="24">I20+P20+W20+AD20</f>
        <v>13</v>
      </c>
      <c r="AJ20" s="112">
        <f t="shared" ref="AJ20:AJ29" si="25">L20+S20+Z20+AG20</f>
        <v>0</v>
      </c>
    </row>
    <row r="21" ht="22.5" customHeight="1">
      <c r="A21" s="20">
        <v>2.0</v>
      </c>
      <c r="B21" s="20" t="s">
        <v>174</v>
      </c>
      <c r="C21" s="93" t="s">
        <v>175</v>
      </c>
      <c r="D21" s="20" t="s">
        <v>777</v>
      </c>
      <c r="E21" s="20" t="s">
        <v>180</v>
      </c>
      <c r="F21" s="20" t="s">
        <v>122</v>
      </c>
      <c r="G21" s="105">
        <v>0.0</v>
      </c>
      <c r="H21" s="105">
        <v>9.0</v>
      </c>
      <c r="I21" s="95">
        <f t="shared" si="16"/>
        <v>9</v>
      </c>
      <c r="J21" s="94"/>
      <c r="K21" s="94">
        <v>5.0</v>
      </c>
      <c r="L21" s="111">
        <f t="shared" si="17"/>
        <v>5</v>
      </c>
      <c r="M21" s="106"/>
      <c r="N21" s="94">
        <v>0.0</v>
      </c>
      <c r="O21" s="94">
        <v>8.0</v>
      </c>
      <c r="P21" s="111">
        <f t="shared" si="18"/>
        <v>8</v>
      </c>
      <c r="Q21" s="94"/>
      <c r="R21" s="94">
        <v>3.0</v>
      </c>
      <c r="S21" s="95">
        <f t="shared" si="19"/>
        <v>3</v>
      </c>
      <c r="T21" s="97"/>
      <c r="U21" s="99">
        <v>0.0</v>
      </c>
      <c r="V21" s="99">
        <v>1.0</v>
      </c>
      <c r="W21" s="95">
        <f t="shared" si="20"/>
        <v>1</v>
      </c>
      <c r="X21" s="99"/>
      <c r="Y21" s="99">
        <v>1.0</v>
      </c>
      <c r="Z21" s="111">
        <f t="shared" si="21"/>
        <v>1</v>
      </c>
      <c r="AA21" s="97"/>
      <c r="AB21" s="107">
        <v>0.0</v>
      </c>
      <c r="AC21" s="107">
        <v>3.0</v>
      </c>
      <c r="AD21" s="111">
        <f t="shared" si="22"/>
        <v>3</v>
      </c>
      <c r="AE21" s="107"/>
      <c r="AF21" s="107">
        <v>1.0</v>
      </c>
      <c r="AG21" s="111">
        <f t="shared" si="23"/>
        <v>1</v>
      </c>
      <c r="AH21" s="97"/>
      <c r="AI21" s="112">
        <f t="shared" si="24"/>
        <v>21</v>
      </c>
      <c r="AJ21" s="112">
        <f t="shared" si="25"/>
        <v>10</v>
      </c>
    </row>
    <row r="22" ht="22.5" customHeight="1">
      <c r="A22" s="20">
        <v>3.0</v>
      </c>
      <c r="B22" s="20" t="s">
        <v>181</v>
      </c>
      <c r="C22" s="93" t="s">
        <v>183</v>
      </c>
      <c r="D22" s="20" t="s">
        <v>777</v>
      </c>
      <c r="E22" s="18">
        <v>100.0</v>
      </c>
      <c r="F22" s="20" t="s">
        <v>116</v>
      </c>
      <c r="G22" s="105">
        <v>0.0</v>
      </c>
      <c r="H22" s="105">
        <v>2.0</v>
      </c>
      <c r="I22" s="95">
        <f t="shared" si="16"/>
        <v>2</v>
      </c>
      <c r="J22" s="98"/>
      <c r="K22" s="98"/>
      <c r="L22" s="111">
        <f t="shared" si="17"/>
        <v>0</v>
      </c>
      <c r="M22" s="106"/>
      <c r="N22" s="94">
        <v>0.0</v>
      </c>
      <c r="O22" s="94">
        <v>0.0</v>
      </c>
      <c r="P22" s="111">
        <f t="shared" si="18"/>
        <v>0</v>
      </c>
      <c r="Q22" s="98"/>
      <c r="R22" s="98"/>
      <c r="S22" s="111">
        <f t="shared" si="19"/>
        <v>0</v>
      </c>
      <c r="T22" s="106"/>
      <c r="U22" s="99">
        <v>0.0</v>
      </c>
      <c r="V22" s="99">
        <v>0.0</v>
      </c>
      <c r="W22" s="95">
        <f t="shared" si="20"/>
        <v>0</v>
      </c>
      <c r="X22" s="100"/>
      <c r="Y22" s="100"/>
      <c r="Z22" s="111">
        <f t="shared" si="21"/>
        <v>0</v>
      </c>
      <c r="AA22" s="106"/>
      <c r="AB22" s="113"/>
      <c r="AC22" s="113"/>
      <c r="AD22" s="111">
        <f t="shared" si="22"/>
        <v>0</v>
      </c>
      <c r="AE22" s="113"/>
      <c r="AF22" s="113"/>
      <c r="AG22" s="111">
        <f t="shared" si="23"/>
        <v>0</v>
      </c>
      <c r="AH22" s="97"/>
      <c r="AI22" s="112">
        <f t="shared" si="24"/>
        <v>2</v>
      </c>
      <c r="AJ22" s="112">
        <f t="shared" si="25"/>
        <v>0</v>
      </c>
    </row>
    <row r="23" ht="22.5" customHeight="1">
      <c r="A23" s="20">
        <v>4.0</v>
      </c>
      <c r="B23" s="20" t="s">
        <v>187</v>
      </c>
      <c r="C23" s="93" t="s">
        <v>188</v>
      </c>
      <c r="D23" s="20" t="s">
        <v>777</v>
      </c>
      <c r="E23" s="20" t="s">
        <v>190</v>
      </c>
      <c r="F23" s="20" t="s">
        <v>191</v>
      </c>
      <c r="G23" s="105">
        <v>0.0</v>
      </c>
      <c r="H23" s="105">
        <v>1.0</v>
      </c>
      <c r="I23" s="95">
        <f t="shared" si="16"/>
        <v>1</v>
      </c>
      <c r="J23" s="98"/>
      <c r="K23" s="98"/>
      <c r="L23" s="111">
        <f t="shared" si="17"/>
        <v>0</v>
      </c>
      <c r="M23" s="97"/>
      <c r="N23" s="94">
        <v>0.0</v>
      </c>
      <c r="O23" s="94">
        <v>0.0</v>
      </c>
      <c r="P23" s="111">
        <f t="shared" si="18"/>
        <v>0</v>
      </c>
      <c r="Q23" s="98"/>
      <c r="R23" s="98"/>
      <c r="S23" s="111">
        <f t="shared" si="19"/>
        <v>0</v>
      </c>
      <c r="T23" s="106"/>
      <c r="U23" s="99">
        <v>0.0</v>
      </c>
      <c r="V23" s="99">
        <v>0.0</v>
      </c>
      <c r="W23" s="95">
        <f t="shared" si="20"/>
        <v>0</v>
      </c>
      <c r="X23" s="100"/>
      <c r="Y23" s="100"/>
      <c r="Z23" s="111">
        <f t="shared" si="21"/>
        <v>0</v>
      </c>
      <c r="AA23" s="106"/>
      <c r="AB23" s="113"/>
      <c r="AC23" s="113"/>
      <c r="AD23" s="111">
        <f t="shared" si="22"/>
        <v>0</v>
      </c>
      <c r="AE23" s="113"/>
      <c r="AF23" s="113"/>
      <c r="AG23" s="111">
        <f t="shared" si="23"/>
        <v>0</v>
      </c>
      <c r="AH23" s="97"/>
      <c r="AI23" s="112">
        <f t="shared" si="24"/>
        <v>1</v>
      </c>
      <c r="AJ23" s="112">
        <f t="shared" si="25"/>
        <v>0</v>
      </c>
    </row>
    <row r="24" ht="22.5" customHeight="1">
      <c r="A24" s="20">
        <v>5.0</v>
      </c>
      <c r="B24" s="20" t="s">
        <v>193</v>
      </c>
      <c r="C24" s="93" t="s">
        <v>194</v>
      </c>
      <c r="D24" s="20" t="s">
        <v>777</v>
      </c>
      <c r="E24" s="20" t="s">
        <v>196</v>
      </c>
      <c r="F24" s="20" t="s">
        <v>198</v>
      </c>
      <c r="G24" s="105">
        <v>1.0</v>
      </c>
      <c r="H24" s="105">
        <v>4.0</v>
      </c>
      <c r="I24" s="95">
        <f t="shared" si="16"/>
        <v>5</v>
      </c>
      <c r="J24" s="98"/>
      <c r="K24" s="98"/>
      <c r="L24" s="111">
        <f t="shared" si="17"/>
        <v>0</v>
      </c>
      <c r="M24" s="97"/>
      <c r="N24" s="94">
        <v>0.0</v>
      </c>
      <c r="O24" s="94">
        <v>0.0</v>
      </c>
      <c r="P24" s="111">
        <f t="shared" si="18"/>
        <v>0</v>
      </c>
      <c r="Q24" s="98"/>
      <c r="R24" s="98"/>
      <c r="S24" s="111">
        <f t="shared" si="19"/>
        <v>0</v>
      </c>
      <c r="T24" s="97"/>
      <c r="U24" s="99">
        <v>0.0</v>
      </c>
      <c r="V24" s="99">
        <v>0.0</v>
      </c>
      <c r="W24" s="95">
        <f t="shared" si="20"/>
        <v>0</v>
      </c>
      <c r="X24" s="100"/>
      <c r="Y24" s="100"/>
      <c r="Z24" s="111">
        <f t="shared" si="21"/>
        <v>0</v>
      </c>
      <c r="AA24" s="97"/>
      <c r="AB24" s="113"/>
      <c r="AC24" s="113"/>
      <c r="AD24" s="111">
        <f t="shared" si="22"/>
        <v>0</v>
      </c>
      <c r="AE24" s="113"/>
      <c r="AF24" s="113"/>
      <c r="AG24" s="111">
        <f t="shared" si="23"/>
        <v>0</v>
      </c>
      <c r="AH24" s="97"/>
      <c r="AI24" s="112">
        <f t="shared" si="24"/>
        <v>5</v>
      </c>
      <c r="AJ24" s="112">
        <f t="shared" si="25"/>
        <v>0</v>
      </c>
    </row>
    <row r="25" ht="22.5" customHeight="1">
      <c r="A25" s="20">
        <v>6.0</v>
      </c>
      <c r="B25" s="20" t="s">
        <v>199</v>
      </c>
      <c r="C25" s="93" t="s">
        <v>200</v>
      </c>
      <c r="D25" s="20" t="s">
        <v>777</v>
      </c>
      <c r="E25" s="20" t="s">
        <v>203</v>
      </c>
      <c r="F25" s="20" t="s">
        <v>116</v>
      </c>
      <c r="G25" s="105">
        <v>1.0</v>
      </c>
      <c r="H25" s="105">
        <v>6.0</v>
      </c>
      <c r="I25" s="95">
        <f t="shared" si="16"/>
        <v>7</v>
      </c>
      <c r="J25" s="94"/>
      <c r="K25" s="94">
        <v>5.0</v>
      </c>
      <c r="L25" s="111">
        <f t="shared" si="17"/>
        <v>5</v>
      </c>
      <c r="M25" s="97"/>
      <c r="N25" s="94">
        <v>0.0</v>
      </c>
      <c r="O25" s="94">
        <v>0.0</v>
      </c>
      <c r="P25" s="111">
        <f t="shared" si="18"/>
        <v>0</v>
      </c>
      <c r="Q25" s="98"/>
      <c r="R25" s="98"/>
      <c r="S25" s="111">
        <f t="shared" si="19"/>
        <v>0</v>
      </c>
      <c r="T25" s="97"/>
      <c r="U25" s="99">
        <v>0.0</v>
      </c>
      <c r="V25" s="99">
        <v>0.0</v>
      </c>
      <c r="W25" s="95">
        <f t="shared" si="20"/>
        <v>0</v>
      </c>
      <c r="X25" s="100"/>
      <c r="Y25" s="100"/>
      <c r="Z25" s="111">
        <f t="shared" si="21"/>
        <v>0</v>
      </c>
      <c r="AA25" s="97"/>
      <c r="AB25" s="113"/>
      <c r="AC25" s="113"/>
      <c r="AD25" s="111">
        <f t="shared" si="22"/>
        <v>0</v>
      </c>
      <c r="AE25" s="113"/>
      <c r="AF25" s="113"/>
      <c r="AG25" s="111">
        <f t="shared" si="23"/>
        <v>0</v>
      </c>
      <c r="AH25" s="97"/>
      <c r="AI25" s="112">
        <f t="shared" si="24"/>
        <v>7</v>
      </c>
      <c r="AJ25" s="112">
        <f t="shared" si="25"/>
        <v>5</v>
      </c>
    </row>
    <row r="26" ht="22.5" customHeight="1">
      <c r="A26" s="20">
        <v>7.0</v>
      </c>
      <c r="B26" s="20" t="s">
        <v>205</v>
      </c>
      <c r="C26" s="93" t="s">
        <v>207</v>
      </c>
      <c r="D26" s="20" t="s">
        <v>777</v>
      </c>
      <c r="E26" s="20" t="s">
        <v>208</v>
      </c>
      <c r="F26" s="20" t="s">
        <v>116</v>
      </c>
      <c r="G26" s="105">
        <v>0.0</v>
      </c>
      <c r="H26" s="105">
        <v>4.0</v>
      </c>
      <c r="I26" s="95">
        <f t="shared" si="16"/>
        <v>4</v>
      </c>
      <c r="J26" s="98"/>
      <c r="K26" s="98"/>
      <c r="L26" s="111">
        <f t="shared" si="17"/>
        <v>0</v>
      </c>
      <c r="M26" s="106"/>
      <c r="N26" s="94">
        <v>0.0</v>
      </c>
      <c r="O26" s="94">
        <v>1.0</v>
      </c>
      <c r="P26" s="111">
        <f t="shared" si="18"/>
        <v>1</v>
      </c>
      <c r="Q26" s="98"/>
      <c r="R26" s="98"/>
      <c r="S26" s="111">
        <f t="shared" si="19"/>
        <v>0</v>
      </c>
      <c r="T26" s="97"/>
      <c r="U26" s="99">
        <v>0.0</v>
      </c>
      <c r="V26" s="99">
        <v>0.0</v>
      </c>
      <c r="W26" s="95">
        <f t="shared" si="20"/>
        <v>0</v>
      </c>
      <c r="X26" s="100"/>
      <c r="Y26" s="100"/>
      <c r="Z26" s="111">
        <f t="shared" si="21"/>
        <v>0</v>
      </c>
      <c r="AA26" s="97"/>
      <c r="AB26" s="113"/>
      <c r="AC26" s="113"/>
      <c r="AD26" s="111">
        <f t="shared" si="22"/>
        <v>0</v>
      </c>
      <c r="AE26" s="113"/>
      <c r="AF26" s="113"/>
      <c r="AG26" s="111">
        <f t="shared" si="23"/>
        <v>0</v>
      </c>
      <c r="AH26" s="97"/>
      <c r="AI26" s="112">
        <f t="shared" si="24"/>
        <v>5</v>
      </c>
      <c r="AJ26" s="112">
        <f t="shared" si="25"/>
        <v>0</v>
      </c>
    </row>
    <row r="27" ht="22.5" customHeight="1">
      <c r="A27" s="20">
        <v>8.0</v>
      </c>
      <c r="B27" s="20" t="s">
        <v>209</v>
      </c>
      <c r="C27" s="93" t="s">
        <v>210</v>
      </c>
      <c r="D27" s="20" t="s">
        <v>777</v>
      </c>
      <c r="E27" s="20" t="s">
        <v>219</v>
      </c>
      <c r="F27" s="20" t="s">
        <v>122</v>
      </c>
      <c r="G27" s="105">
        <v>4.0</v>
      </c>
      <c r="H27" s="105">
        <v>3.0</v>
      </c>
      <c r="I27" s="95">
        <f t="shared" si="16"/>
        <v>7</v>
      </c>
      <c r="J27" s="94">
        <v>3.0</v>
      </c>
      <c r="K27" s="94">
        <v>1.0</v>
      </c>
      <c r="L27" s="111">
        <f t="shared" si="17"/>
        <v>4</v>
      </c>
      <c r="M27" s="106"/>
      <c r="N27" s="94">
        <v>4.0</v>
      </c>
      <c r="O27" s="94">
        <v>3.0</v>
      </c>
      <c r="P27" s="111">
        <f t="shared" si="18"/>
        <v>7</v>
      </c>
      <c r="Q27" s="94">
        <v>1.0</v>
      </c>
      <c r="R27" s="94">
        <v>1.0</v>
      </c>
      <c r="S27" s="111">
        <f t="shared" si="19"/>
        <v>2</v>
      </c>
      <c r="T27" s="106"/>
      <c r="U27" s="99">
        <v>1.0</v>
      </c>
      <c r="V27" s="99">
        <v>4.0</v>
      </c>
      <c r="W27" s="95">
        <f t="shared" si="20"/>
        <v>5</v>
      </c>
      <c r="X27" s="99"/>
      <c r="Y27" s="99">
        <v>3.0</v>
      </c>
      <c r="Z27" s="111">
        <f t="shared" si="21"/>
        <v>3</v>
      </c>
      <c r="AA27" s="106"/>
      <c r="AB27" s="113"/>
      <c r="AC27" s="113"/>
      <c r="AD27" s="111">
        <f t="shared" si="22"/>
        <v>0</v>
      </c>
      <c r="AE27" s="113"/>
      <c r="AF27" s="113"/>
      <c r="AG27" s="111">
        <f t="shared" si="23"/>
        <v>0</v>
      </c>
      <c r="AH27" s="97"/>
      <c r="AI27" s="112">
        <f t="shared" si="24"/>
        <v>19</v>
      </c>
      <c r="AJ27" s="112">
        <f t="shared" si="25"/>
        <v>9</v>
      </c>
    </row>
    <row r="28" ht="22.5" customHeight="1">
      <c r="A28" s="20">
        <v>9.0</v>
      </c>
      <c r="B28" s="20" t="s">
        <v>225</v>
      </c>
      <c r="C28" s="93" t="s">
        <v>227</v>
      </c>
      <c r="D28" s="20" t="s">
        <v>777</v>
      </c>
      <c r="E28" s="20" t="s">
        <v>165</v>
      </c>
      <c r="F28" s="20" t="s">
        <v>116</v>
      </c>
      <c r="G28" s="94">
        <v>0.0</v>
      </c>
      <c r="H28" s="94">
        <v>0.0</v>
      </c>
      <c r="I28" s="95">
        <f t="shared" si="16"/>
        <v>0</v>
      </c>
      <c r="J28" s="98"/>
      <c r="K28" s="98"/>
      <c r="L28" s="111">
        <f t="shared" si="17"/>
        <v>0</v>
      </c>
      <c r="M28" s="106"/>
      <c r="N28" s="94">
        <v>0.0</v>
      </c>
      <c r="O28" s="94">
        <v>12.0</v>
      </c>
      <c r="P28" s="111">
        <f t="shared" si="18"/>
        <v>12</v>
      </c>
      <c r="Q28" s="98"/>
      <c r="R28" s="94">
        <v>1.0</v>
      </c>
      <c r="S28" s="111">
        <f t="shared" si="19"/>
        <v>1</v>
      </c>
      <c r="T28" s="106"/>
      <c r="U28" s="99">
        <v>0.0</v>
      </c>
      <c r="V28" s="99">
        <v>0.0</v>
      </c>
      <c r="W28" s="95">
        <f t="shared" si="20"/>
        <v>0</v>
      </c>
      <c r="X28" s="100"/>
      <c r="Y28" s="100"/>
      <c r="Z28" s="111">
        <f t="shared" si="21"/>
        <v>0</v>
      </c>
      <c r="AA28" s="106"/>
      <c r="AB28" s="113"/>
      <c r="AC28" s="113"/>
      <c r="AD28" s="111">
        <f t="shared" si="22"/>
        <v>0</v>
      </c>
      <c r="AE28" s="113"/>
      <c r="AF28" s="113"/>
      <c r="AG28" s="111">
        <f t="shared" si="23"/>
        <v>0</v>
      </c>
      <c r="AH28" s="97"/>
      <c r="AI28" s="112">
        <f t="shared" si="24"/>
        <v>12</v>
      </c>
      <c r="AJ28" s="112">
        <f t="shared" si="25"/>
        <v>1</v>
      </c>
    </row>
    <row r="29" ht="22.5" customHeight="1">
      <c r="A29" s="20">
        <v>10.0</v>
      </c>
      <c r="B29" s="20" t="s">
        <v>236</v>
      </c>
      <c r="C29" s="93" t="s">
        <v>237</v>
      </c>
      <c r="D29" s="18" t="s">
        <v>786</v>
      </c>
      <c r="E29" s="18" t="s">
        <v>245</v>
      </c>
      <c r="F29" s="20" t="s">
        <v>116</v>
      </c>
      <c r="G29" s="94">
        <v>0.0</v>
      </c>
      <c r="H29" s="94">
        <v>0.0</v>
      </c>
      <c r="I29" s="95">
        <f t="shared" si="16"/>
        <v>0</v>
      </c>
      <c r="J29" s="98"/>
      <c r="K29" s="98"/>
      <c r="L29" s="111">
        <f t="shared" si="17"/>
        <v>0</v>
      </c>
      <c r="M29" s="106"/>
      <c r="N29" s="94">
        <v>7.0</v>
      </c>
      <c r="O29" s="94">
        <v>0.0</v>
      </c>
      <c r="P29" s="111">
        <f t="shared" si="18"/>
        <v>7</v>
      </c>
      <c r="Q29" s="98"/>
      <c r="R29" s="98"/>
      <c r="S29" s="111">
        <f t="shared" si="19"/>
        <v>0</v>
      </c>
      <c r="T29" s="106"/>
      <c r="U29" s="99">
        <v>0.0</v>
      </c>
      <c r="V29" s="99">
        <v>0.0</v>
      </c>
      <c r="W29" s="95">
        <f t="shared" si="20"/>
        <v>0</v>
      </c>
      <c r="X29" s="100"/>
      <c r="Y29" s="100"/>
      <c r="Z29" s="111">
        <f t="shared" si="21"/>
        <v>0</v>
      </c>
      <c r="AA29" s="106"/>
      <c r="AB29" s="113"/>
      <c r="AC29" s="113"/>
      <c r="AD29" s="111">
        <f t="shared" si="22"/>
        <v>0</v>
      </c>
      <c r="AE29" s="113"/>
      <c r="AF29" s="113"/>
      <c r="AG29" s="111">
        <f t="shared" si="23"/>
        <v>0</v>
      </c>
      <c r="AH29" s="97"/>
      <c r="AI29" s="112">
        <f t="shared" si="24"/>
        <v>7</v>
      </c>
      <c r="AJ29" s="112">
        <f t="shared" si="25"/>
        <v>0</v>
      </c>
    </row>
    <row r="30" ht="22.5" customHeight="1">
      <c r="A30" s="21"/>
      <c r="B30" s="115" t="s">
        <v>252</v>
      </c>
      <c r="C30" s="21"/>
      <c r="D30" s="21"/>
      <c r="E30" s="21"/>
      <c r="F30" s="21"/>
      <c r="G30" s="94">
        <f t="shared" ref="G30:H30" si="26">G29+G28+G27+G26+G25+G24+G23+G22+G21+G20</f>
        <v>10</v>
      </c>
      <c r="H30" s="94">
        <f t="shared" si="26"/>
        <v>30</v>
      </c>
      <c r="I30" s="98">
        <f t="shared" ref="I30:L30" si="27">SUM(I20:I29)</f>
        <v>40</v>
      </c>
      <c r="J30" s="98">
        <f t="shared" si="27"/>
        <v>3</v>
      </c>
      <c r="K30" s="98">
        <f t="shared" si="27"/>
        <v>11</v>
      </c>
      <c r="L30" s="98">
        <f t="shared" si="27"/>
        <v>14</v>
      </c>
      <c r="M30" s="97"/>
      <c r="N30" s="98">
        <f>SUM(表格_5[Total Issues with In-Patch (on 70)])</f>
        <v>11</v>
      </c>
      <c r="O30" s="98">
        <f>SUM(表格_5[Total Issues without In-Patch (on 70)])</f>
        <v>24</v>
      </c>
      <c r="P30" s="98">
        <f t="shared" ref="P30:S30" si="28">SUM(P20:P29)</f>
        <v>35</v>
      </c>
      <c r="Q30" s="98">
        <f t="shared" si="28"/>
        <v>1</v>
      </c>
      <c r="R30" s="98">
        <f t="shared" si="28"/>
        <v>5</v>
      </c>
      <c r="S30" s="98">
        <f t="shared" si="28"/>
        <v>6</v>
      </c>
      <c r="T30" s="97"/>
      <c r="U30" s="98">
        <f t="shared" ref="U30:Z30" si="29">SUM(U20:U29)</f>
        <v>7</v>
      </c>
      <c r="V30" s="98">
        <f t="shared" si="29"/>
        <v>7</v>
      </c>
      <c r="W30" s="98">
        <f t="shared" si="29"/>
        <v>14</v>
      </c>
      <c r="X30" s="98">
        <f t="shared" si="29"/>
        <v>0</v>
      </c>
      <c r="Y30" s="98">
        <f t="shared" si="29"/>
        <v>4</v>
      </c>
      <c r="Z30" s="98">
        <f t="shared" si="29"/>
        <v>4</v>
      </c>
      <c r="AA30" s="97"/>
      <c r="AB30" s="100">
        <f>SUM(表格_5[Total Issues with In-Patch (on 25)])</f>
        <v>0</v>
      </c>
      <c r="AC30" s="100">
        <f>SUM(表格_5[Total Issues without In-Patch (on 25)])</f>
        <v>3</v>
      </c>
      <c r="AD30" s="100">
        <f>SUM(表格_5[Total Issues (on 25)])</f>
        <v>3</v>
      </c>
      <c r="AE30" s="99" t="s">
        <v>911</v>
      </c>
      <c r="AF30" s="99">
        <f>SUM(表格_5[Total F2P Without In-Patch (on 25)])</f>
        <v>1</v>
      </c>
      <c r="AG30" s="99">
        <f>SUM(表格_5[Total F2P (data: 25)])</f>
        <v>1</v>
      </c>
      <c r="AH30" s="103"/>
      <c r="AI30" s="104">
        <f>SUM(表格_5[Total Issues])</f>
        <v>92</v>
      </c>
      <c r="AJ30" s="104">
        <f>SUM(表格_5[Total F2P])</f>
        <v>25</v>
      </c>
    </row>
    <row r="33">
      <c r="A33" s="6" t="s">
        <v>912</v>
      </c>
    </row>
    <row r="35" ht="22.5" customHeight="1">
      <c r="A35" s="89" t="s">
        <v>12</v>
      </c>
      <c r="B35" s="89" t="s">
        <v>913</v>
      </c>
      <c r="C35" s="89" t="s">
        <v>914</v>
      </c>
      <c r="D35" s="89" t="s">
        <v>915</v>
      </c>
      <c r="E35" s="89" t="s">
        <v>916</v>
      </c>
      <c r="F35" s="89" t="s">
        <v>917</v>
      </c>
      <c r="G35" s="116" t="s">
        <v>24</v>
      </c>
      <c r="H35" s="117" t="s">
        <v>918</v>
      </c>
      <c r="I35" s="117" t="s">
        <v>919</v>
      </c>
    </row>
    <row r="36" ht="22.5" customHeight="1">
      <c r="A36" s="118">
        <v>1.0</v>
      </c>
      <c r="B36" s="118" t="s">
        <v>920</v>
      </c>
      <c r="C36" s="119">
        <f>G14+表格_5[[#TOTALS],[Total Issues with In-Patch (on 80)]]</f>
        <v>30</v>
      </c>
      <c r="D36" s="119">
        <f>H14+表格_5[[#TOTALS],[Total Issues without In-Patch (on 80)]]</f>
        <v>50</v>
      </c>
      <c r="E36" s="119">
        <f>J14+表格_5[[#TOTALS],[Total F2P In-Patch (on 80)]]</f>
        <v>13</v>
      </c>
      <c r="F36" s="119">
        <f>K14+表格_5[[#TOTALS],[Total F2P No In-Patch (on 80)]]</f>
        <v>15</v>
      </c>
      <c r="G36" s="119">
        <f>L14+表格_5[[#TOTALS],[Total F2P (on 80)]]</f>
        <v>28</v>
      </c>
      <c r="H36" s="120">
        <v>14.0</v>
      </c>
      <c r="I36" s="120">
        <v>5.0</v>
      </c>
    </row>
    <row r="37" ht="22.5" customHeight="1">
      <c r="A37" s="118">
        <v>2.0</v>
      </c>
      <c r="B37" s="118" t="s">
        <v>921</v>
      </c>
      <c r="C37" s="119">
        <f>N14+表格_5[[#TOTALS],[Total Issues with In-Patch (on 70)]]</f>
        <v>39</v>
      </c>
      <c r="D37" s="119">
        <f>O14+表格_5[[#TOTALS],[Total Issues without In-Patch (on 70)]]</f>
        <v>31</v>
      </c>
      <c r="E37" s="119">
        <f>Q14+表格_5[[#TOTALS],[Total F2P With In-Patch (on 70)]]</f>
        <v>2</v>
      </c>
      <c r="F37" s="119">
        <f>R14+表格_5[[#TOTALS],[Total F2P Without In-Patch (on 70)]]</f>
        <v>5</v>
      </c>
      <c r="G37" s="119">
        <f>S14+表格_5[[#TOTALS],[Total F2P (on 70)]]</f>
        <v>7</v>
      </c>
      <c r="H37" s="120">
        <v>0.0</v>
      </c>
      <c r="I37" s="120">
        <v>1.0</v>
      </c>
    </row>
    <row r="38" ht="22.5" customHeight="1">
      <c r="A38" s="118">
        <v>3.0</v>
      </c>
      <c r="B38" s="118" t="s">
        <v>922</v>
      </c>
      <c r="C38" s="119">
        <f>U14+表格_5[[#TOTALS],[Total Issues with In-Patch (on 50)]]</f>
        <v>37</v>
      </c>
      <c r="D38" s="119">
        <f>V14+表格_5[[#TOTALS],[Total Issues without In-Patch (on 50)]]</f>
        <v>13</v>
      </c>
      <c r="E38" s="119">
        <f>X14+表格_5[[#TOTALS],[Total F2P With In-Patch (on 50)]]</f>
        <v>6</v>
      </c>
      <c r="F38" s="119">
        <f>Y14+表格_5[[#TOTALS],[Total F2P Without In-Patch (on 50)]]</f>
        <v>4</v>
      </c>
      <c r="G38" s="119">
        <f>Z14+表格_5[[#TOTALS],[Total F2P (data: 50)]]</f>
        <v>10</v>
      </c>
      <c r="H38" s="120">
        <v>5.0</v>
      </c>
      <c r="I38" s="120">
        <v>0.0</v>
      </c>
    </row>
    <row r="39" ht="22.5" customHeight="1">
      <c r="A39" s="118">
        <v>4.0</v>
      </c>
      <c r="B39" s="118" t="s">
        <v>923</v>
      </c>
      <c r="C39" s="119">
        <f>AB14+表格_5[[#TOTALS],[Total Issues with In-Patch (on 25)]]</f>
        <v>0</v>
      </c>
      <c r="D39" s="119">
        <f>AC14+表格_5[[#TOTALS],[Total Issues without In-Patch (on 25)]]</f>
        <v>25</v>
      </c>
      <c r="E39" s="118">
        <v>0.0</v>
      </c>
      <c r="F39" s="119">
        <f>AF14+表格_5[[#TOTALS],[Total F2P Without In-Patch (on 25)]]</f>
        <v>1</v>
      </c>
      <c r="G39" s="119">
        <f>AG14+表格_5[[#TOTALS],[Total F2P (data: 25)]]</f>
        <v>1</v>
      </c>
      <c r="H39" s="120">
        <v>0.0</v>
      </c>
      <c r="I39" s="120">
        <v>0.0</v>
      </c>
    </row>
    <row r="40" ht="22.5" customHeight="1">
      <c r="B40" s="121" t="s">
        <v>252</v>
      </c>
      <c r="C40" s="119">
        <f t="shared" ref="C40:I40" si="30">SUM(C36:C39)</f>
        <v>106</v>
      </c>
      <c r="D40" s="119">
        <f t="shared" si="30"/>
        <v>119</v>
      </c>
      <c r="E40" s="119">
        <f t="shared" si="30"/>
        <v>21</v>
      </c>
      <c r="F40" s="119">
        <f t="shared" si="30"/>
        <v>25</v>
      </c>
      <c r="G40" s="119">
        <f t="shared" si="30"/>
        <v>46</v>
      </c>
      <c r="H40" s="119">
        <f t="shared" si="30"/>
        <v>19</v>
      </c>
      <c r="I40" s="119">
        <f t="shared" si="30"/>
        <v>6</v>
      </c>
    </row>
    <row r="42">
      <c r="A42" s="6"/>
      <c r="B42" s="6"/>
    </row>
    <row r="43">
      <c r="A43" s="6"/>
      <c r="B43" s="6"/>
    </row>
    <row r="44">
      <c r="A44" s="6" t="s">
        <v>924</v>
      </c>
    </row>
    <row r="46" ht="22.5" customHeight="1">
      <c r="A46" s="89" t="s">
        <v>12</v>
      </c>
      <c r="B46" s="89" t="s">
        <v>913</v>
      </c>
      <c r="C46" s="89" t="s">
        <v>925</v>
      </c>
      <c r="D46" s="89" t="s">
        <v>926</v>
      </c>
      <c r="E46" s="89" t="s">
        <v>927</v>
      </c>
      <c r="F46" s="89" t="s">
        <v>928</v>
      </c>
      <c r="G46" s="89" t="s">
        <v>929</v>
      </c>
      <c r="H46" s="89" t="s">
        <v>930</v>
      </c>
    </row>
    <row r="47" ht="22.5" customHeight="1">
      <c r="A47" s="118">
        <v>1.0</v>
      </c>
      <c r="B47" s="118" t="s">
        <v>920</v>
      </c>
      <c r="C47" s="118">
        <v>73.0</v>
      </c>
      <c r="D47" s="118">
        <v>17.0</v>
      </c>
      <c r="E47" s="118">
        <v>7.0</v>
      </c>
      <c r="F47" s="118">
        <v>0.0</v>
      </c>
      <c r="G47" s="118">
        <v>0.0</v>
      </c>
      <c r="H47" s="118">
        <v>0.0</v>
      </c>
    </row>
    <row r="48" ht="22.5" customHeight="1">
      <c r="A48" s="118">
        <v>2.0</v>
      </c>
      <c r="B48" s="118" t="s">
        <v>921</v>
      </c>
      <c r="C48" s="118">
        <v>53.0</v>
      </c>
      <c r="D48" s="118">
        <v>6.0</v>
      </c>
      <c r="E48" s="118">
        <v>8.0</v>
      </c>
      <c r="F48" s="118">
        <v>0.0</v>
      </c>
      <c r="G48" s="118">
        <v>9.0</v>
      </c>
      <c r="H48" s="118">
        <v>0.0</v>
      </c>
    </row>
    <row r="49" ht="22.5" customHeight="1">
      <c r="A49" s="118">
        <v>3.0</v>
      </c>
      <c r="B49" s="118" t="s">
        <v>922</v>
      </c>
      <c r="C49" s="118">
        <v>50.0</v>
      </c>
      <c r="D49" s="118">
        <v>5.0</v>
      </c>
      <c r="E49" s="118">
        <v>0.0</v>
      </c>
      <c r="F49" s="118">
        <v>0.0</v>
      </c>
      <c r="G49" s="118">
        <v>0.0</v>
      </c>
      <c r="H49" s="118">
        <v>0.0</v>
      </c>
    </row>
    <row r="50" ht="22.5" customHeight="1">
      <c r="A50" s="118">
        <v>4.0</v>
      </c>
      <c r="B50" s="118" t="s">
        <v>923</v>
      </c>
      <c r="C50" s="118">
        <v>24.0</v>
      </c>
      <c r="D50" s="118">
        <v>1.0</v>
      </c>
      <c r="E50" s="118">
        <v>1.0</v>
      </c>
      <c r="F50" s="118">
        <v>0.0</v>
      </c>
      <c r="G50" s="118">
        <v>0.0</v>
      </c>
      <c r="H50" s="118">
        <v>0.0</v>
      </c>
    </row>
    <row r="51" ht="22.5" customHeight="1">
      <c r="A51" s="122"/>
      <c r="B51" s="123" t="s">
        <v>252</v>
      </c>
      <c r="C51" s="122">
        <f t="shared" ref="C51:H51" si="31">SUM(C47:C50)</f>
        <v>200</v>
      </c>
      <c r="D51" s="122">
        <f t="shared" si="31"/>
        <v>29</v>
      </c>
      <c r="E51" s="122">
        <f t="shared" si="31"/>
        <v>16</v>
      </c>
      <c r="F51" s="122">
        <f t="shared" si="31"/>
        <v>0</v>
      </c>
      <c r="G51" s="122">
        <f t="shared" si="31"/>
        <v>9</v>
      </c>
      <c r="H51" s="122">
        <f t="shared" si="31"/>
        <v>0</v>
      </c>
    </row>
  </sheetData>
  <mergeCells count="6">
    <mergeCell ref="A1:B1"/>
    <mergeCell ref="I2:Z2"/>
    <mergeCell ref="A17:B17"/>
    <mergeCell ref="I18:Z18"/>
    <mergeCell ref="A33:B33"/>
    <mergeCell ref="A44:B44"/>
  </mergeCell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20"/>
    <hyperlink r:id="rId12" ref="C21"/>
    <hyperlink r:id="rId13" ref="C22"/>
    <hyperlink r:id="rId14" ref="C23"/>
    <hyperlink r:id="rId15" ref="C24"/>
    <hyperlink r:id="rId16" ref="C25"/>
    <hyperlink r:id="rId17" ref="C26"/>
    <hyperlink r:id="rId18" ref="C27"/>
    <hyperlink r:id="rId19" ref="C28"/>
    <hyperlink r:id="rId20" ref="C29"/>
  </hyperlinks>
  <drawing r:id="rId21"/>
  <tableParts count="4">
    <tablePart r:id="rId26"/>
    <tablePart r:id="rId27"/>
    <tablePart r:id="rId28"/>
    <tablePart r:id="rId2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18.38"/>
    <col customWidth="1" min="3" max="3" width="13.88"/>
    <col customWidth="1" min="4" max="4" width="13.63"/>
    <col customWidth="1" min="5" max="5" width="11.13"/>
    <col customWidth="1" min="6" max="6" width="16.38"/>
    <col customWidth="1" min="7" max="7" width="13.25"/>
    <col customWidth="1" min="8" max="8" width="13.88"/>
    <col customWidth="1" min="9" max="9" width="15.0"/>
    <col customWidth="1" min="10" max="10" width="10.13"/>
    <col customWidth="1" min="11" max="11" width="11.88"/>
    <col customWidth="1" min="12" max="12" width="11.38"/>
    <col customWidth="1" min="13" max="13" width="9.25"/>
    <col customWidth="1" min="14" max="14" width="9.13"/>
  </cols>
  <sheetData>
    <row r="1">
      <c r="A1" s="128" t="s">
        <v>983</v>
      </c>
    </row>
    <row r="2">
      <c r="A2" s="5"/>
      <c r="B2" s="5"/>
      <c r="C2" s="5"/>
      <c r="D2" s="5"/>
      <c r="E2" s="5"/>
      <c r="F2" s="5"/>
      <c r="G2" s="5"/>
      <c r="H2" s="5"/>
      <c r="I2" s="5"/>
      <c r="J2" s="5"/>
      <c r="K2" s="5"/>
      <c r="L2" s="5"/>
      <c r="M2" s="5"/>
      <c r="N2" s="5"/>
    </row>
    <row r="3" ht="22.5" customHeight="1">
      <c r="A3" s="89" t="s">
        <v>12</v>
      </c>
      <c r="B3" s="89" t="s">
        <v>950</v>
      </c>
      <c r="C3" s="89" t="s">
        <v>951</v>
      </c>
      <c r="D3" s="89" t="s">
        <v>952</v>
      </c>
      <c r="E3" s="89" t="s">
        <v>24</v>
      </c>
      <c r="F3" s="89" t="s">
        <v>953</v>
      </c>
      <c r="G3" s="89" t="s">
        <v>954</v>
      </c>
      <c r="H3" s="89" t="s">
        <v>989</v>
      </c>
      <c r="I3" s="90" t="s">
        <v>990</v>
      </c>
      <c r="J3" s="89" t="s">
        <v>957</v>
      </c>
      <c r="K3" s="89" t="s">
        <v>958</v>
      </c>
      <c r="L3" s="89" t="s">
        <v>25</v>
      </c>
      <c r="M3" s="89" t="s">
        <v>959</v>
      </c>
      <c r="N3" s="89" t="s">
        <v>26</v>
      </c>
      <c r="O3" s="117" t="s">
        <v>960</v>
      </c>
    </row>
    <row r="4" ht="22.5" customHeight="1">
      <c r="A4" s="20">
        <v>1.0</v>
      </c>
      <c r="B4" s="20" t="s">
        <v>31</v>
      </c>
      <c r="C4" s="20">
        <v>9.0</v>
      </c>
      <c r="D4" s="20">
        <v>10.0</v>
      </c>
      <c r="E4" s="134">
        <f t="shared" ref="E4:E6" si="1">C4+D4</f>
        <v>19</v>
      </c>
      <c r="F4" s="20">
        <v>3.0</v>
      </c>
      <c r="G4" s="20">
        <v>6.0</v>
      </c>
      <c r="H4" s="109">
        <f t="shared" ref="H4:H6" si="2">F4+G4</f>
        <v>9</v>
      </c>
      <c r="I4" s="134">
        <f>E4-H4</f>
        <v>10</v>
      </c>
      <c r="J4" s="20">
        <v>25.0</v>
      </c>
      <c r="K4" s="20" t="s">
        <v>1005</v>
      </c>
      <c r="L4" s="20" t="s">
        <v>1006</v>
      </c>
      <c r="M4" s="20"/>
      <c r="N4" s="20"/>
      <c r="O4" s="27"/>
    </row>
    <row r="5" ht="22.5" customHeight="1">
      <c r="A5" s="20">
        <v>2.0</v>
      </c>
      <c r="B5" s="20" t="s">
        <v>45</v>
      </c>
      <c r="C5" s="20">
        <v>3.0</v>
      </c>
      <c r="D5" s="20">
        <v>8.0</v>
      </c>
      <c r="E5" s="134">
        <f t="shared" si="1"/>
        <v>11</v>
      </c>
      <c r="F5" s="20">
        <v>3.0</v>
      </c>
      <c r="G5" s="20">
        <v>8.0</v>
      </c>
      <c r="H5" s="109">
        <f t="shared" si="2"/>
        <v>11</v>
      </c>
      <c r="I5" s="134">
        <v>0.0</v>
      </c>
      <c r="J5" s="20">
        <v>16.0</v>
      </c>
      <c r="K5" s="20" t="s">
        <v>1007</v>
      </c>
      <c r="L5" s="20" t="s">
        <v>1008</v>
      </c>
      <c r="M5" s="20"/>
      <c r="N5" s="20"/>
      <c r="O5" s="27"/>
    </row>
    <row r="6" ht="22.5" customHeight="1">
      <c r="A6" s="20">
        <v>3.0</v>
      </c>
      <c r="B6" s="20" t="s">
        <v>965</v>
      </c>
      <c r="C6" s="20">
        <v>1.0</v>
      </c>
      <c r="D6" s="20">
        <v>3.0</v>
      </c>
      <c r="E6" s="134">
        <f t="shared" si="1"/>
        <v>4</v>
      </c>
      <c r="F6" s="20">
        <v>1.0</v>
      </c>
      <c r="G6" s="20">
        <v>3.0</v>
      </c>
      <c r="H6" s="109">
        <f t="shared" si="2"/>
        <v>4</v>
      </c>
      <c r="I6" s="134">
        <v>0.0</v>
      </c>
      <c r="J6" s="20">
        <v>15.0</v>
      </c>
      <c r="K6" s="20" t="s">
        <v>1012</v>
      </c>
      <c r="L6" s="20" t="s">
        <v>1013</v>
      </c>
      <c r="M6" s="20"/>
      <c r="N6" s="20"/>
      <c r="O6" s="27"/>
    </row>
    <row r="8">
      <c r="A8" s="5" t="s">
        <v>966</v>
      </c>
    </row>
    <row r="9">
      <c r="A9" s="130" t="s">
        <v>967</v>
      </c>
      <c r="B9" s="130" t="s">
        <v>968</v>
      </c>
      <c r="C9" s="131" t="s">
        <v>969</v>
      </c>
      <c r="D9" s="131" t="s">
        <v>970</v>
      </c>
      <c r="E9" s="131" t="s">
        <v>971</v>
      </c>
    </row>
    <row r="10">
      <c r="A10" s="135"/>
      <c r="B10" s="136" t="s">
        <v>230</v>
      </c>
      <c r="C10" s="137">
        <v>73.0</v>
      </c>
      <c r="D10" s="138"/>
      <c r="E10" s="139"/>
    </row>
    <row r="11">
      <c r="A11" s="140"/>
      <c r="B11" s="141" t="s">
        <v>258</v>
      </c>
      <c r="C11" s="61">
        <v>76.0</v>
      </c>
      <c r="D11" s="142"/>
      <c r="E11" s="143"/>
    </row>
    <row r="12">
      <c r="A12" s="140"/>
      <c r="B12" s="141" t="s">
        <v>258</v>
      </c>
      <c r="C12" s="61">
        <v>93.0</v>
      </c>
      <c r="D12" s="142"/>
      <c r="E12" s="143"/>
    </row>
    <row r="13">
      <c r="A13" s="141" t="s">
        <v>32</v>
      </c>
      <c r="B13" s="141" t="s">
        <v>230</v>
      </c>
      <c r="C13" s="61">
        <v>173.0</v>
      </c>
      <c r="D13" s="61">
        <v>173.0</v>
      </c>
      <c r="E13" s="143"/>
    </row>
    <row r="14">
      <c r="A14" s="140"/>
      <c r="B14" s="141" t="s">
        <v>230</v>
      </c>
      <c r="C14" s="61">
        <v>217.0</v>
      </c>
      <c r="D14" s="142"/>
      <c r="E14" s="144"/>
    </row>
    <row r="15">
      <c r="A15" s="140"/>
      <c r="B15" s="141" t="s">
        <v>258</v>
      </c>
      <c r="C15" s="61">
        <v>279.0</v>
      </c>
      <c r="D15" s="142"/>
      <c r="E15" s="144"/>
    </row>
    <row r="16">
      <c r="A16" s="140"/>
      <c r="B16" s="141" t="s">
        <v>258</v>
      </c>
      <c r="C16" s="61">
        <v>420.0</v>
      </c>
      <c r="D16" s="142"/>
      <c r="E16" s="144"/>
    </row>
    <row r="17">
      <c r="A17" s="141" t="s">
        <v>32</v>
      </c>
      <c r="B17" s="141" t="s">
        <v>258</v>
      </c>
      <c r="C17" s="61">
        <v>443.0</v>
      </c>
      <c r="D17" s="61">
        <v>443.0</v>
      </c>
      <c r="E17" s="144"/>
    </row>
    <row r="18">
      <c r="A18" s="140"/>
      <c r="B18" s="141" t="s">
        <v>230</v>
      </c>
      <c r="C18" s="61">
        <v>703.0</v>
      </c>
      <c r="D18" s="142"/>
      <c r="E18" s="144"/>
    </row>
    <row r="19">
      <c r="A19" s="141" t="s">
        <v>32</v>
      </c>
      <c r="B19" s="141" t="s">
        <v>258</v>
      </c>
      <c r="C19" s="61">
        <v>994.0</v>
      </c>
      <c r="D19" s="142"/>
      <c r="E19" s="145">
        <v>994.0</v>
      </c>
    </row>
    <row r="20">
      <c r="A20" s="141" t="s">
        <v>32</v>
      </c>
      <c r="B20" s="141" t="s">
        <v>258</v>
      </c>
      <c r="C20" s="61">
        <v>1141.0</v>
      </c>
      <c r="D20" s="61">
        <v>1141.0</v>
      </c>
      <c r="E20" s="144"/>
    </row>
    <row r="21">
      <c r="A21" s="141" t="s">
        <v>32</v>
      </c>
      <c r="B21" s="141" t="s">
        <v>230</v>
      </c>
      <c r="C21" s="61">
        <v>1198.0</v>
      </c>
      <c r="D21" s="61">
        <v>1198.0</v>
      </c>
      <c r="E21" s="144"/>
    </row>
    <row r="22">
      <c r="A22" s="141" t="s">
        <v>32</v>
      </c>
      <c r="B22" s="141" t="s">
        <v>230</v>
      </c>
      <c r="C22" s="61">
        <v>1239.0</v>
      </c>
      <c r="D22" s="61">
        <v>1239.0</v>
      </c>
      <c r="E22" s="144"/>
    </row>
    <row r="23">
      <c r="A23" s="141" t="s">
        <v>32</v>
      </c>
      <c r="B23" s="141" t="s">
        <v>258</v>
      </c>
      <c r="C23" s="61">
        <v>1290.0</v>
      </c>
      <c r="D23" s="61">
        <v>1290.0</v>
      </c>
      <c r="E23" s="143"/>
    </row>
    <row r="24">
      <c r="A24" s="141" t="s">
        <v>32</v>
      </c>
      <c r="B24" s="141" t="s">
        <v>258</v>
      </c>
      <c r="C24" s="61">
        <v>1279.0</v>
      </c>
      <c r="D24" s="61">
        <v>1279.0</v>
      </c>
      <c r="E24" s="145">
        <v>1279.0</v>
      </c>
    </row>
    <row r="25">
      <c r="A25" s="140"/>
      <c r="B25" s="141" t="s">
        <v>230</v>
      </c>
      <c r="C25" s="61">
        <v>1590.0</v>
      </c>
      <c r="D25" s="142"/>
      <c r="E25" s="144"/>
    </row>
    <row r="26">
      <c r="A26" s="140"/>
      <c r="B26" s="141" t="s">
        <v>230</v>
      </c>
      <c r="C26" s="61">
        <v>1852.0</v>
      </c>
      <c r="D26" s="142"/>
      <c r="E26" s="144"/>
    </row>
    <row r="27">
      <c r="A27" s="141" t="s">
        <v>32</v>
      </c>
      <c r="B27" s="141" t="s">
        <v>258</v>
      </c>
      <c r="C27" s="61">
        <v>3994.0</v>
      </c>
      <c r="D27" s="61">
        <v>3994.0</v>
      </c>
      <c r="E27" s="144"/>
    </row>
    <row r="28">
      <c r="A28" s="140"/>
      <c r="B28" s="141" t="s">
        <v>230</v>
      </c>
      <c r="C28" s="61">
        <v>4554.0</v>
      </c>
      <c r="D28" s="142"/>
      <c r="E28" s="144"/>
    </row>
    <row r="29">
      <c r="A29" s="160" t="s">
        <v>32</v>
      </c>
      <c r="B29" s="160" t="s">
        <v>258</v>
      </c>
      <c r="C29" s="142"/>
      <c r="D29" s="61">
        <v>4073.0</v>
      </c>
      <c r="E29" s="143"/>
    </row>
    <row r="30">
      <c r="A30" s="160" t="s">
        <v>32</v>
      </c>
      <c r="B30" s="160" t="s">
        <v>258</v>
      </c>
      <c r="C30" s="142"/>
      <c r="D30" s="61">
        <v>5798.0</v>
      </c>
      <c r="E30" s="143"/>
    </row>
    <row r="31">
      <c r="A31" s="160" t="s">
        <v>32</v>
      </c>
      <c r="B31" s="160" t="s">
        <v>258</v>
      </c>
      <c r="C31" s="142"/>
      <c r="D31" s="61">
        <v>6509.0</v>
      </c>
      <c r="E31" s="143"/>
    </row>
    <row r="32">
      <c r="A32" s="160" t="s">
        <v>32</v>
      </c>
      <c r="B32" s="160" t="s">
        <v>230</v>
      </c>
      <c r="C32" s="142"/>
      <c r="D32" s="142"/>
      <c r="E32" s="145">
        <v>2616.0</v>
      </c>
    </row>
    <row r="33">
      <c r="A33" s="163" t="s">
        <v>32</v>
      </c>
      <c r="B33" s="163" t="s">
        <v>258</v>
      </c>
      <c r="C33" s="164"/>
      <c r="D33" s="164"/>
      <c r="E33" s="165">
        <v>152.0</v>
      </c>
    </row>
    <row r="37">
      <c r="A37" s="5"/>
    </row>
    <row r="38">
      <c r="A38" s="5"/>
      <c r="B38" s="5"/>
      <c r="C38" s="5"/>
      <c r="D38" s="5"/>
      <c r="E38" s="5"/>
      <c r="F38" s="5"/>
      <c r="G38" s="5"/>
      <c r="H38" s="5"/>
      <c r="I38" s="5"/>
      <c r="J38" s="5"/>
      <c r="K38" s="5"/>
      <c r="L38" s="5"/>
      <c r="M38" s="5"/>
      <c r="N38" s="5"/>
      <c r="S38" s="5"/>
      <c r="T38" s="5"/>
      <c r="U38" s="5"/>
    </row>
    <row r="39" ht="22.5" customHeight="1">
      <c r="A39" s="89" t="s">
        <v>12</v>
      </c>
      <c r="B39" s="89" t="s">
        <v>950</v>
      </c>
      <c r="C39" s="89" t="s">
        <v>951</v>
      </c>
      <c r="D39" s="89" t="s">
        <v>952</v>
      </c>
      <c r="E39" s="89" t="s">
        <v>24</v>
      </c>
      <c r="F39" s="89" t="s">
        <v>953</v>
      </c>
      <c r="G39" s="89" t="s">
        <v>954</v>
      </c>
      <c r="H39" s="89" t="s">
        <v>989</v>
      </c>
      <c r="I39" s="90" t="s">
        <v>990</v>
      </c>
      <c r="J39" s="89" t="s">
        <v>957</v>
      </c>
      <c r="K39" s="89" t="s">
        <v>958</v>
      </c>
      <c r="L39" s="89" t="s">
        <v>25</v>
      </c>
      <c r="M39" s="89" t="s">
        <v>959</v>
      </c>
      <c r="N39" s="89" t="s">
        <v>26</v>
      </c>
      <c r="O39" s="117" t="s">
        <v>960</v>
      </c>
      <c r="S39" s="5"/>
      <c r="T39" s="5"/>
      <c r="U39" s="5"/>
    </row>
    <row r="40" ht="22.5" customHeight="1">
      <c r="A40" s="20">
        <v>1.0</v>
      </c>
      <c r="B40" s="20" t="s">
        <v>31</v>
      </c>
      <c r="C40" s="20">
        <v>3.0</v>
      </c>
      <c r="D40" s="20">
        <v>1.0</v>
      </c>
      <c r="E40" s="134">
        <f>C40+D40</f>
        <v>4</v>
      </c>
      <c r="F40" s="20">
        <v>0.0</v>
      </c>
      <c r="G40" s="20">
        <v>1.0</v>
      </c>
      <c r="H40" s="109">
        <f>F40+G40</f>
        <v>1</v>
      </c>
      <c r="I40" s="134">
        <f t="shared" ref="I40:I42" si="3">E40-H40</f>
        <v>3</v>
      </c>
      <c r="J40" s="20">
        <v>19.0</v>
      </c>
      <c r="K40" s="20" t="s">
        <v>1068</v>
      </c>
      <c r="L40" s="20" t="s">
        <v>1071</v>
      </c>
      <c r="M40" s="20"/>
      <c r="N40" s="20"/>
      <c r="O40" s="27"/>
    </row>
    <row r="41" ht="22.5" customHeight="1">
      <c r="A41" s="20">
        <v>2.0</v>
      </c>
      <c r="B41" s="20" t="s">
        <v>45</v>
      </c>
      <c r="C41" s="20">
        <v>0.0</v>
      </c>
      <c r="D41" s="20">
        <v>0.0</v>
      </c>
      <c r="E41" s="134">
        <v>0.0</v>
      </c>
      <c r="F41" s="20">
        <v>0.0</v>
      </c>
      <c r="G41" s="20">
        <v>0.0</v>
      </c>
      <c r="H41" s="134">
        <v>0.0</v>
      </c>
      <c r="I41" s="134">
        <f t="shared" si="3"/>
        <v>0</v>
      </c>
      <c r="J41" s="20">
        <v>4.0</v>
      </c>
      <c r="K41" s="20" t="s">
        <v>1089</v>
      </c>
      <c r="L41" s="20" t="s">
        <v>1092</v>
      </c>
      <c r="M41" s="20"/>
      <c r="N41" s="20"/>
      <c r="O41" s="27"/>
    </row>
    <row r="42" ht="22.5" customHeight="1">
      <c r="A42" s="20">
        <v>3.0</v>
      </c>
      <c r="B42" s="20" t="s">
        <v>965</v>
      </c>
      <c r="C42" s="20">
        <v>0.0</v>
      </c>
      <c r="D42" s="20">
        <v>1.0</v>
      </c>
      <c r="E42" s="134">
        <f>C42+D42</f>
        <v>1</v>
      </c>
      <c r="F42" s="20">
        <v>0.0</v>
      </c>
      <c r="G42" s="20">
        <v>1.0</v>
      </c>
      <c r="H42" s="134">
        <f>F42+G42</f>
        <v>1</v>
      </c>
      <c r="I42" s="134">
        <f t="shared" si="3"/>
        <v>0</v>
      </c>
      <c r="J42" s="20">
        <v>12.0</v>
      </c>
      <c r="K42" s="20" t="s">
        <v>1108</v>
      </c>
      <c r="L42" s="20" t="s">
        <v>1109</v>
      </c>
      <c r="M42" s="20"/>
      <c r="N42" s="20"/>
      <c r="O42" s="27"/>
    </row>
    <row r="44">
      <c r="A44" s="5" t="s">
        <v>966</v>
      </c>
    </row>
    <row r="45">
      <c r="A45" s="130" t="s">
        <v>967</v>
      </c>
      <c r="B45" s="130" t="s">
        <v>968</v>
      </c>
      <c r="C45" s="131" t="s">
        <v>969</v>
      </c>
      <c r="D45" s="131" t="s">
        <v>970</v>
      </c>
      <c r="E45" s="131" t="s">
        <v>971</v>
      </c>
    </row>
    <row r="46">
      <c r="A46" s="175"/>
      <c r="B46" s="176" t="s">
        <v>230</v>
      </c>
      <c r="C46" s="177">
        <v>230.0</v>
      </c>
      <c r="D46" s="178"/>
      <c r="E46" s="179"/>
    </row>
    <row r="47">
      <c r="A47" s="180"/>
      <c r="B47" s="181" t="s">
        <v>230</v>
      </c>
      <c r="C47" s="2">
        <v>269.0</v>
      </c>
      <c r="E47" s="182"/>
    </row>
    <row r="48">
      <c r="A48" s="180"/>
      <c r="B48" s="181" t="s">
        <v>230</v>
      </c>
      <c r="C48" s="2">
        <v>271.0</v>
      </c>
      <c r="E48" s="182"/>
    </row>
    <row r="49">
      <c r="A49" s="163" t="s">
        <v>32</v>
      </c>
      <c r="B49" s="183" t="s">
        <v>258</v>
      </c>
      <c r="C49" s="184">
        <v>962.0</v>
      </c>
      <c r="D49" s="185"/>
      <c r="E49" s="183">
        <v>962.0</v>
      </c>
    </row>
    <row r="55" ht="22.5" customHeight="1">
      <c r="A55" s="89" t="s">
        <v>12</v>
      </c>
      <c r="B55" s="89" t="s">
        <v>950</v>
      </c>
      <c r="C55" s="89" t="s">
        <v>951</v>
      </c>
      <c r="D55" s="89" t="s">
        <v>952</v>
      </c>
      <c r="E55" s="89" t="s">
        <v>24</v>
      </c>
      <c r="F55" s="89" t="s">
        <v>953</v>
      </c>
      <c r="G55" s="89" t="s">
        <v>954</v>
      </c>
      <c r="H55" s="89" t="s">
        <v>989</v>
      </c>
      <c r="I55" s="90" t="s">
        <v>990</v>
      </c>
      <c r="J55" s="89" t="s">
        <v>957</v>
      </c>
      <c r="K55" s="89" t="s">
        <v>958</v>
      </c>
      <c r="L55" s="89" t="s">
        <v>25</v>
      </c>
      <c r="M55" s="89" t="s">
        <v>959</v>
      </c>
      <c r="N55" s="89" t="s">
        <v>26</v>
      </c>
      <c r="O55" s="117" t="s">
        <v>960</v>
      </c>
    </row>
    <row r="56" ht="22.5" customHeight="1">
      <c r="A56" s="20">
        <v>1.0</v>
      </c>
      <c r="B56" s="20" t="s">
        <v>31</v>
      </c>
      <c r="C56" s="20">
        <v>4.0</v>
      </c>
      <c r="D56" s="20">
        <v>16.0</v>
      </c>
      <c r="E56" s="134">
        <f>C56+D56</f>
        <v>20</v>
      </c>
      <c r="F56" s="20">
        <v>0.0</v>
      </c>
      <c r="G56" s="20">
        <v>14.0</v>
      </c>
      <c r="H56" s="109">
        <f t="shared" ref="H56:H58" si="4">F56+G56</f>
        <v>14</v>
      </c>
      <c r="I56" s="134">
        <f t="shared" ref="I56:I58" si="5">E56-H56</f>
        <v>6</v>
      </c>
      <c r="J56" s="20">
        <v>26.0</v>
      </c>
      <c r="K56" s="20" t="s">
        <v>1114</v>
      </c>
      <c r="L56" s="20" t="s">
        <v>1115</v>
      </c>
      <c r="M56" s="20"/>
      <c r="N56" s="26"/>
      <c r="O56" s="27"/>
    </row>
    <row r="57" ht="22.5" customHeight="1">
      <c r="A57" s="20">
        <v>2.0</v>
      </c>
      <c r="B57" s="20" t="s">
        <v>45</v>
      </c>
      <c r="C57" s="20">
        <v>0.0</v>
      </c>
      <c r="D57" s="20">
        <v>10.0</v>
      </c>
      <c r="E57" s="134">
        <f>D57+C57</f>
        <v>10</v>
      </c>
      <c r="F57" s="20">
        <v>0.0</v>
      </c>
      <c r="G57" s="20">
        <v>10.0</v>
      </c>
      <c r="H57" s="134">
        <f t="shared" si="4"/>
        <v>10</v>
      </c>
      <c r="I57" s="134">
        <f t="shared" si="5"/>
        <v>0</v>
      </c>
      <c r="J57" s="20">
        <v>16.0</v>
      </c>
      <c r="K57" s="20" t="s">
        <v>1116</v>
      </c>
      <c r="L57" s="20" t="s">
        <v>1117</v>
      </c>
      <c r="M57" s="20"/>
      <c r="N57" s="20"/>
      <c r="O57" s="27"/>
    </row>
    <row r="58" ht="22.5" customHeight="1">
      <c r="A58" s="20">
        <v>3.0</v>
      </c>
      <c r="B58" s="20" t="s">
        <v>965</v>
      </c>
      <c r="C58" s="20">
        <v>0.0</v>
      </c>
      <c r="D58" s="20">
        <v>1.0</v>
      </c>
      <c r="E58" s="134">
        <f>C58+D58</f>
        <v>1</v>
      </c>
      <c r="F58" s="20">
        <v>0.0</v>
      </c>
      <c r="G58" s="20">
        <v>1.0</v>
      </c>
      <c r="H58" s="109">
        <f t="shared" si="4"/>
        <v>1</v>
      </c>
      <c r="I58" s="134">
        <f t="shared" si="5"/>
        <v>0</v>
      </c>
      <c r="J58" s="20">
        <v>6.0</v>
      </c>
      <c r="K58" s="20" t="s">
        <v>1118</v>
      </c>
      <c r="L58" s="20" t="s">
        <v>1119</v>
      </c>
      <c r="M58" s="20"/>
      <c r="N58" s="26"/>
      <c r="O58" s="27"/>
    </row>
    <row r="60">
      <c r="A60" s="5" t="s">
        <v>966</v>
      </c>
    </row>
    <row r="61">
      <c r="A61" s="130" t="s">
        <v>967</v>
      </c>
      <c r="B61" s="130" t="s">
        <v>968</v>
      </c>
      <c r="C61" s="131" t="s">
        <v>969</v>
      </c>
      <c r="D61" s="131" t="s">
        <v>970</v>
      </c>
      <c r="E61" s="131" t="s">
        <v>971</v>
      </c>
    </row>
    <row r="62">
      <c r="B62" s="2" t="s">
        <v>230</v>
      </c>
      <c r="C62" s="2">
        <v>40.0</v>
      </c>
      <c r="D62" s="2"/>
    </row>
    <row r="63">
      <c r="B63" s="2" t="s">
        <v>230</v>
      </c>
      <c r="C63" s="2">
        <v>187.0</v>
      </c>
      <c r="D63" s="2"/>
    </row>
    <row r="64">
      <c r="A64" s="2" t="s">
        <v>32</v>
      </c>
      <c r="B64" s="2" t="s">
        <v>258</v>
      </c>
      <c r="C64" s="2">
        <v>197.0</v>
      </c>
      <c r="E64" s="2">
        <v>197.0</v>
      </c>
    </row>
    <row r="65">
      <c r="A65" s="2"/>
      <c r="B65" s="2" t="s">
        <v>230</v>
      </c>
      <c r="C65" s="2">
        <v>463.0</v>
      </c>
      <c r="D65" s="2"/>
    </row>
    <row r="66">
      <c r="A66" s="2" t="s">
        <v>32</v>
      </c>
      <c r="B66" s="2" t="s">
        <v>258</v>
      </c>
      <c r="C66" s="2">
        <v>1097.0</v>
      </c>
      <c r="D66" s="2">
        <v>1097.0</v>
      </c>
    </row>
    <row r="67">
      <c r="A67" s="2"/>
      <c r="B67" s="2" t="s">
        <v>230</v>
      </c>
      <c r="C67" s="2">
        <v>1170.0</v>
      </c>
      <c r="D67" s="2"/>
    </row>
    <row r="68">
      <c r="A68" s="2"/>
      <c r="B68" s="2" t="s">
        <v>258</v>
      </c>
      <c r="C68" s="2">
        <v>1298.0</v>
      </c>
      <c r="D68" s="2"/>
    </row>
    <row r="69">
      <c r="A69" s="2"/>
      <c r="B69" s="2" t="s">
        <v>258</v>
      </c>
      <c r="C69" s="2">
        <v>1341.0</v>
      </c>
      <c r="D69" s="2"/>
    </row>
    <row r="70">
      <c r="A70" s="2" t="s">
        <v>32</v>
      </c>
      <c r="B70" s="2" t="s">
        <v>258</v>
      </c>
      <c r="C70" s="2">
        <v>1356.0</v>
      </c>
      <c r="D70" s="2">
        <v>1356.0</v>
      </c>
    </row>
    <row r="71">
      <c r="A71" s="2" t="s">
        <v>32</v>
      </c>
      <c r="B71" s="2" t="s">
        <v>258</v>
      </c>
      <c r="C71" s="2">
        <v>1390.0</v>
      </c>
      <c r="D71" s="2"/>
    </row>
    <row r="72">
      <c r="A72" s="2" t="s">
        <v>32</v>
      </c>
      <c r="B72" s="2" t="s">
        <v>258</v>
      </c>
      <c r="C72" s="2">
        <v>1818.0</v>
      </c>
      <c r="D72" s="2">
        <v>1818.0</v>
      </c>
    </row>
    <row r="73">
      <c r="A73" s="2" t="s">
        <v>32</v>
      </c>
      <c r="B73" s="2" t="s">
        <v>258</v>
      </c>
      <c r="C73" s="2" t="s">
        <v>1122</v>
      </c>
      <c r="D73" s="2">
        <v>2063.0</v>
      </c>
    </row>
    <row r="74">
      <c r="A74" s="2" t="s">
        <v>32</v>
      </c>
      <c r="B74" s="2" t="s">
        <v>258</v>
      </c>
      <c r="C74" s="2" t="s">
        <v>1122</v>
      </c>
      <c r="D74" s="2">
        <v>2192.0</v>
      </c>
    </row>
    <row r="75">
      <c r="A75" s="2" t="s">
        <v>32</v>
      </c>
      <c r="B75" s="2" t="s">
        <v>258</v>
      </c>
      <c r="C75" s="2">
        <v>2231.0</v>
      </c>
      <c r="D75" s="2">
        <v>2231.0</v>
      </c>
    </row>
    <row r="76">
      <c r="A76" s="2" t="s">
        <v>32</v>
      </c>
      <c r="B76" s="2" t="s">
        <v>258</v>
      </c>
      <c r="C76" s="2">
        <v>2336.0</v>
      </c>
    </row>
    <row r="77">
      <c r="A77" s="2" t="s">
        <v>32</v>
      </c>
      <c r="B77" s="2" t="s">
        <v>258</v>
      </c>
      <c r="C77" s="2">
        <v>2552.0</v>
      </c>
      <c r="D77" s="2">
        <v>2552.0</v>
      </c>
    </row>
    <row r="78">
      <c r="A78" s="2" t="s">
        <v>32</v>
      </c>
      <c r="B78" s="2" t="s">
        <v>258</v>
      </c>
      <c r="C78" s="2">
        <v>2562.0</v>
      </c>
    </row>
    <row r="79">
      <c r="A79" s="2" t="s">
        <v>32</v>
      </c>
      <c r="B79" s="2" t="s">
        <v>258</v>
      </c>
      <c r="C79" s="2">
        <v>3057.0</v>
      </c>
      <c r="D79" s="2">
        <v>3057.0</v>
      </c>
    </row>
    <row r="80">
      <c r="A80" s="2" t="s">
        <v>32</v>
      </c>
      <c r="B80" s="2" t="s">
        <v>258</v>
      </c>
      <c r="C80" s="2">
        <v>3187.0</v>
      </c>
    </row>
    <row r="81">
      <c r="A81" s="2" t="s">
        <v>32</v>
      </c>
      <c r="B81" s="2" t="s">
        <v>258</v>
      </c>
      <c r="C81" s="2">
        <v>3390.0</v>
      </c>
    </row>
    <row r="82">
      <c r="A82" s="2" t="s">
        <v>32</v>
      </c>
      <c r="B82" s="2" t="s">
        <v>258</v>
      </c>
      <c r="C82" s="2" t="s">
        <v>1129</v>
      </c>
      <c r="D82" s="2">
        <v>3072.0</v>
      </c>
    </row>
    <row r="83">
      <c r="A83" s="2" t="s">
        <v>32</v>
      </c>
      <c r="B83" s="2" t="s">
        <v>258</v>
      </c>
      <c r="C83" s="2">
        <v>3839.0</v>
      </c>
      <c r="D83" s="2">
        <v>3839.0</v>
      </c>
    </row>
    <row r="84">
      <c r="A84" s="2" t="s">
        <v>32</v>
      </c>
      <c r="B84" s="2" t="s">
        <v>258</v>
      </c>
      <c r="C84" s="2">
        <v>3904.0</v>
      </c>
    </row>
    <row r="88" ht="22.5" customHeight="1">
      <c r="A88" s="89" t="s">
        <v>12</v>
      </c>
      <c r="B88" s="89" t="s">
        <v>950</v>
      </c>
      <c r="C88" s="89" t="s">
        <v>951</v>
      </c>
      <c r="D88" s="89" t="s">
        <v>952</v>
      </c>
      <c r="E88" s="89" t="s">
        <v>24</v>
      </c>
      <c r="F88" s="89" t="s">
        <v>953</v>
      </c>
      <c r="G88" s="89" t="s">
        <v>954</v>
      </c>
      <c r="H88" s="89" t="s">
        <v>989</v>
      </c>
      <c r="I88" s="90" t="s">
        <v>990</v>
      </c>
      <c r="J88" s="89" t="s">
        <v>957</v>
      </c>
      <c r="K88" s="89" t="s">
        <v>958</v>
      </c>
      <c r="L88" s="89" t="s">
        <v>25</v>
      </c>
      <c r="M88" s="89" t="s">
        <v>959</v>
      </c>
      <c r="N88" s="89" t="s">
        <v>26</v>
      </c>
      <c r="O88" s="117" t="s">
        <v>960</v>
      </c>
    </row>
    <row r="89" ht="22.5" customHeight="1">
      <c r="A89" s="20">
        <v>1.0</v>
      </c>
      <c r="B89" s="20" t="s">
        <v>31</v>
      </c>
      <c r="C89" s="20">
        <v>0.0</v>
      </c>
      <c r="D89" s="20">
        <v>2.0</v>
      </c>
      <c r="E89" s="134">
        <f>C89+D89</f>
        <v>2</v>
      </c>
      <c r="F89" s="20">
        <v>0.0</v>
      </c>
      <c r="G89" s="20">
        <v>0.0</v>
      </c>
      <c r="H89" s="109">
        <f t="shared" ref="H89:H91" si="6">F89+G89</f>
        <v>0</v>
      </c>
      <c r="I89" s="134">
        <f t="shared" ref="I89:I91" si="7">E89-H89</f>
        <v>2</v>
      </c>
      <c r="J89" s="20">
        <v>14.0</v>
      </c>
      <c r="K89" s="20" t="s">
        <v>1134</v>
      </c>
      <c r="L89" s="20" t="s">
        <v>1135</v>
      </c>
      <c r="M89" s="20"/>
      <c r="N89" s="26"/>
      <c r="O89" s="27"/>
    </row>
    <row r="90" ht="22.5" customHeight="1">
      <c r="A90" s="20">
        <v>2.0</v>
      </c>
      <c r="B90" s="20" t="s">
        <v>45</v>
      </c>
      <c r="C90" s="20">
        <v>0.0</v>
      </c>
      <c r="D90" s="20">
        <v>0.0</v>
      </c>
      <c r="E90" s="134">
        <f>D90+C90</f>
        <v>0</v>
      </c>
      <c r="F90" s="20">
        <v>0.0</v>
      </c>
      <c r="G90" s="20">
        <v>0.0</v>
      </c>
      <c r="H90" s="134">
        <f t="shared" si="6"/>
        <v>0</v>
      </c>
      <c r="I90" s="134">
        <f t="shared" si="7"/>
        <v>0</v>
      </c>
      <c r="J90" s="20">
        <v>0.0</v>
      </c>
      <c r="K90" s="20" t="s">
        <v>1138</v>
      </c>
      <c r="L90" s="20" t="s">
        <v>1138</v>
      </c>
      <c r="M90" s="20"/>
      <c r="N90" s="20"/>
      <c r="O90" s="27"/>
    </row>
    <row r="91" ht="22.5" customHeight="1">
      <c r="A91" s="20">
        <v>3.0</v>
      </c>
      <c r="B91" s="20" t="s">
        <v>965</v>
      </c>
      <c r="C91" s="20">
        <v>0.0</v>
      </c>
      <c r="D91" s="20">
        <v>0.0</v>
      </c>
      <c r="E91" s="134">
        <f>C91+D91</f>
        <v>0</v>
      </c>
      <c r="F91" s="20">
        <v>0.0</v>
      </c>
      <c r="G91" s="20">
        <v>0.0</v>
      </c>
      <c r="H91" s="109">
        <f t="shared" si="6"/>
        <v>0</v>
      </c>
      <c r="I91" s="134">
        <f t="shared" si="7"/>
        <v>0</v>
      </c>
      <c r="J91" s="20">
        <v>0.0</v>
      </c>
      <c r="K91" s="20" t="s">
        <v>1146</v>
      </c>
      <c r="L91" s="20" t="s">
        <v>1146</v>
      </c>
      <c r="M91" s="20"/>
      <c r="N91" s="26"/>
      <c r="O91" s="26"/>
    </row>
    <row r="93">
      <c r="A93" s="5" t="s">
        <v>966</v>
      </c>
    </row>
    <row r="94">
      <c r="A94" s="130" t="s">
        <v>967</v>
      </c>
      <c r="B94" s="130" t="s">
        <v>968</v>
      </c>
      <c r="C94" s="131" t="s">
        <v>969</v>
      </c>
      <c r="D94" s="131" t="s">
        <v>970</v>
      </c>
      <c r="E94" s="131" t="s">
        <v>971</v>
      </c>
    </row>
    <row r="95">
      <c r="B95" s="2" t="s">
        <v>258</v>
      </c>
      <c r="C95" s="2">
        <v>106.0</v>
      </c>
    </row>
    <row r="96">
      <c r="B96" s="2" t="s">
        <v>258</v>
      </c>
      <c r="C96" s="2">
        <v>1724.0</v>
      </c>
    </row>
    <row r="104">
      <c r="A104" s="128" t="s">
        <v>707</v>
      </c>
    </row>
    <row r="106">
      <c r="A106" s="5"/>
      <c r="B106" s="5"/>
      <c r="C106" s="5"/>
      <c r="D106" s="5"/>
      <c r="E106" s="5"/>
      <c r="F106" s="5"/>
      <c r="G106" s="5"/>
      <c r="H106" s="5"/>
      <c r="I106" s="5"/>
      <c r="J106" s="5"/>
      <c r="K106" s="5"/>
      <c r="L106" s="5"/>
      <c r="M106" s="5"/>
      <c r="N106" s="5"/>
    </row>
    <row r="107" ht="22.5" customHeight="1">
      <c r="A107" s="89" t="s">
        <v>12</v>
      </c>
      <c r="B107" s="89" t="s">
        <v>950</v>
      </c>
      <c r="C107" s="89" t="s">
        <v>951</v>
      </c>
      <c r="D107" s="89" t="s">
        <v>952</v>
      </c>
      <c r="E107" s="89" t="s">
        <v>24</v>
      </c>
      <c r="F107" s="89" t="s">
        <v>953</v>
      </c>
      <c r="G107" s="89" t="s">
        <v>954</v>
      </c>
      <c r="H107" s="89" t="s">
        <v>955</v>
      </c>
      <c r="I107" s="90" t="s">
        <v>990</v>
      </c>
      <c r="J107" s="89" t="s">
        <v>957</v>
      </c>
      <c r="K107" s="89" t="s">
        <v>958</v>
      </c>
      <c r="L107" s="89" t="s">
        <v>25</v>
      </c>
      <c r="M107" s="89" t="s">
        <v>959</v>
      </c>
      <c r="N107" s="89" t="s">
        <v>26</v>
      </c>
      <c r="O107" s="117" t="s">
        <v>960</v>
      </c>
    </row>
    <row r="108" ht="22.5" customHeight="1">
      <c r="A108" s="20">
        <v>1.0</v>
      </c>
      <c r="B108" s="20" t="s">
        <v>31</v>
      </c>
      <c r="C108" s="20">
        <v>19.0</v>
      </c>
      <c r="D108" s="20">
        <v>14.0</v>
      </c>
      <c r="E108" s="129">
        <f t="shared" ref="E108:E110" si="8">C108+D108</f>
        <v>33</v>
      </c>
      <c r="F108" s="20">
        <v>5.0</v>
      </c>
      <c r="G108" s="20">
        <v>10.0</v>
      </c>
      <c r="H108" s="21">
        <f t="shared" ref="H108:H110" si="9">F108+G108</f>
        <v>15</v>
      </c>
      <c r="I108" s="20">
        <f t="shared" ref="I108:I110" si="10">E108-H108</f>
        <v>18</v>
      </c>
      <c r="J108" s="20">
        <v>45.0</v>
      </c>
      <c r="K108" s="20" t="s">
        <v>1158</v>
      </c>
      <c r="L108" s="20" t="s">
        <v>1159</v>
      </c>
      <c r="M108" s="20"/>
      <c r="N108" s="20"/>
      <c r="O108" s="27"/>
    </row>
    <row r="109" ht="22.5" customHeight="1">
      <c r="A109" s="20">
        <v>2.0</v>
      </c>
      <c r="B109" s="20" t="s">
        <v>45</v>
      </c>
      <c r="C109" s="118">
        <v>3.0</v>
      </c>
      <c r="D109" s="118">
        <v>12.0</v>
      </c>
      <c r="E109" s="129">
        <f t="shared" si="8"/>
        <v>15</v>
      </c>
      <c r="F109" s="118">
        <v>3.0</v>
      </c>
      <c r="G109" s="118">
        <v>12.0</v>
      </c>
      <c r="H109" s="21">
        <f t="shared" si="9"/>
        <v>15</v>
      </c>
      <c r="I109" s="20">
        <f t="shared" si="10"/>
        <v>0</v>
      </c>
      <c r="J109" s="118">
        <v>19.0</v>
      </c>
      <c r="K109" s="118" t="s">
        <v>1164</v>
      </c>
      <c r="L109" s="118" t="s">
        <v>1165</v>
      </c>
      <c r="O109" s="45"/>
    </row>
    <row r="110" ht="22.5" customHeight="1">
      <c r="A110" s="20">
        <v>3.0</v>
      </c>
      <c r="B110" s="20" t="s">
        <v>965</v>
      </c>
      <c r="C110" s="20">
        <v>0.0</v>
      </c>
      <c r="D110" s="20">
        <v>1.0</v>
      </c>
      <c r="E110" s="129">
        <f t="shared" si="8"/>
        <v>1</v>
      </c>
      <c r="F110" s="20">
        <v>0.0</v>
      </c>
      <c r="G110" s="20">
        <v>1.0</v>
      </c>
      <c r="H110" s="21">
        <f t="shared" si="9"/>
        <v>1</v>
      </c>
      <c r="I110" s="20">
        <f t="shared" si="10"/>
        <v>0</v>
      </c>
      <c r="J110" s="20">
        <v>10.0</v>
      </c>
      <c r="K110" s="20" t="s">
        <v>1166</v>
      </c>
      <c r="L110" s="20" t="s">
        <v>1167</v>
      </c>
      <c r="M110" s="20"/>
      <c r="N110" s="20"/>
      <c r="O110" s="27"/>
    </row>
    <row r="112">
      <c r="A112" s="5" t="s">
        <v>966</v>
      </c>
    </row>
    <row r="113">
      <c r="A113" s="130" t="s">
        <v>967</v>
      </c>
      <c r="B113" s="130" t="s">
        <v>968</v>
      </c>
      <c r="C113" s="131" t="s">
        <v>969</v>
      </c>
      <c r="D113" s="131" t="s">
        <v>970</v>
      </c>
      <c r="E113" s="131" t="s">
        <v>971</v>
      </c>
      <c r="G113" s="5" t="s">
        <v>1171</v>
      </c>
    </row>
    <row r="114">
      <c r="A114" s="2"/>
      <c r="B114" s="2" t="s">
        <v>230</v>
      </c>
      <c r="C114" s="2">
        <v>30.0</v>
      </c>
      <c r="D114" s="2"/>
      <c r="E114" s="2"/>
    </row>
    <row r="115">
      <c r="A115" s="2"/>
      <c r="B115" s="2" t="s">
        <v>230</v>
      </c>
      <c r="C115" s="2">
        <v>34.0</v>
      </c>
      <c r="D115" s="2"/>
      <c r="E115" s="2"/>
    </row>
    <row r="116">
      <c r="A116" s="2"/>
      <c r="B116" s="2" t="s">
        <v>230</v>
      </c>
      <c r="C116" s="2">
        <v>73.0</v>
      </c>
      <c r="D116" s="2"/>
      <c r="E116" s="2"/>
    </row>
    <row r="117">
      <c r="A117" s="2"/>
      <c r="B117" s="2" t="s">
        <v>258</v>
      </c>
      <c r="C117" s="2">
        <v>76.0</v>
      </c>
      <c r="D117" s="2"/>
      <c r="E117" s="2"/>
      <c r="J117" s="137"/>
    </row>
    <row r="118">
      <c r="A118" s="2"/>
      <c r="B118" s="2" t="s">
        <v>258</v>
      </c>
      <c r="C118" s="2">
        <v>84.0</v>
      </c>
      <c r="D118" s="2"/>
      <c r="E118" s="2"/>
      <c r="J118" s="61"/>
    </row>
    <row r="119">
      <c r="A119" s="2"/>
      <c r="B119" s="2" t="s">
        <v>230</v>
      </c>
      <c r="C119" s="2">
        <v>123.0</v>
      </c>
      <c r="D119" s="2"/>
      <c r="E119" s="2"/>
      <c r="J119" s="61"/>
    </row>
    <row r="120">
      <c r="A120" s="2" t="s">
        <v>32</v>
      </c>
      <c r="B120" s="2" t="s">
        <v>258</v>
      </c>
      <c r="D120" s="2">
        <v>152.0</v>
      </c>
      <c r="E120" s="2"/>
      <c r="G120" s="2" t="s">
        <v>1172</v>
      </c>
      <c r="J120" s="61"/>
    </row>
    <row r="121">
      <c r="A121" s="2" t="s">
        <v>32</v>
      </c>
      <c r="B121" s="2" t="s">
        <v>230</v>
      </c>
      <c r="C121" s="2">
        <v>173.0</v>
      </c>
      <c r="D121" s="2">
        <v>173.0</v>
      </c>
      <c r="E121" s="2"/>
      <c r="J121" s="61"/>
    </row>
    <row r="122">
      <c r="A122" s="2"/>
      <c r="B122" s="2" t="s">
        <v>230</v>
      </c>
      <c r="C122" s="2">
        <v>262.0</v>
      </c>
      <c r="D122" s="2"/>
      <c r="E122" s="2"/>
      <c r="J122" s="61"/>
    </row>
    <row r="123">
      <c r="A123" s="2"/>
      <c r="B123" s="2" t="s">
        <v>230</v>
      </c>
      <c r="C123" s="2">
        <v>274.0</v>
      </c>
      <c r="D123" s="2"/>
      <c r="E123" s="2"/>
      <c r="J123" s="61"/>
    </row>
    <row r="124">
      <c r="A124" s="2"/>
      <c r="B124" s="2" t="s">
        <v>258</v>
      </c>
      <c r="C124" s="2">
        <v>279.0</v>
      </c>
      <c r="D124" s="2"/>
      <c r="E124" s="2"/>
      <c r="J124" s="61"/>
    </row>
    <row r="125">
      <c r="A125" s="2" t="s">
        <v>32</v>
      </c>
      <c r="B125" s="2" t="s">
        <v>230</v>
      </c>
      <c r="C125" s="2">
        <v>409.0</v>
      </c>
      <c r="D125" s="2"/>
      <c r="E125" s="2"/>
      <c r="J125" s="61"/>
    </row>
    <row r="126">
      <c r="A126" s="2"/>
      <c r="B126" s="2" t="s">
        <v>258</v>
      </c>
      <c r="C126" s="2">
        <v>420.0</v>
      </c>
      <c r="D126" s="2"/>
      <c r="E126" s="2"/>
      <c r="J126" s="61"/>
    </row>
    <row r="127">
      <c r="A127" s="2" t="s">
        <v>32</v>
      </c>
      <c r="B127" s="2" t="s">
        <v>258</v>
      </c>
      <c r="C127" s="5">
        <v>443.0</v>
      </c>
      <c r="D127" s="2">
        <v>443.0</v>
      </c>
      <c r="E127" s="2"/>
      <c r="J127" s="61"/>
    </row>
    <row r="128">
      <c r="A128" s="2"/>
      <c r="B128" s="2" t="s">
        <v>230</v>
      </c>
      <c r="C128" s="2">
        <v>703.0</v>
      </c>
      <c r="D128" s="2"/>
      <c r="E128" s="2"/>
      <c r="J128" s="61"/>
    </row>
    <row r="129">
      <c r="A129" s="2"/>
      <c r="B129" s="2" t="s">
        <v>230</v>
      </c>
      <c r="C129" s="2">
        <v>727.0</v>
      </c>
      <c r="D129" s="2"/>
      <c r="E129" s="2"/>
      <c r="J129" s="61"/>
    </row>
    <row r="130">
      <c r="A130" s="2" t="s">
        <v>32</v>
      </c>
      <c r="B130" s="2" t="s">
        <v>258</v>
      </c>
      <c r="C130" s="5">
        <v>1141.0</v>
      </c>
      <c r="D130" s="2">
        <v>1141.0</v>
      </c>
      <c r="E130" s="2"/>
      <c r="J130" s="61"/>
    </row>
    <row r="131">
      <c r="A131" s="2" t="s">
        <v>32</v>
      </c>
      <c r="B131" s="2" t="s">
        <v>230</v>
      </c>
      <c r="C131" s="5">
        <v>1198.0</v>
      </c>
      <c r="D131" s="2">
        <v>1198.0</v>
      </c>
      <c r="E131" s="2"/>
      <c r="J131" s="61"/>
    </row>
    <row r="132">
      <c r="A132" s="2" t="s">
        <v>32</v>
      </c>
      <c r="B132" s="2" t="s">
        <v>230</v>
      </c>
      <c r="C132" s="2">
        <v>1239.0</v>
      </c>
      <c r="D132" s="2">
        <v>1239.0</v>
      </c>
      <c r="E132" s="2"/>
      <c r="J132" s="61"/>
    </row>
    <row r="133">
      <c r="A133" s="2" t="s">
        <v>32</v>
      </c>
      <c r="B133" s="2" t="s">
        <v>258</v>
      </c>
      <c r="C133" s="2">
        <v>1279.0</v>
      </c>
      <c r="D133" s="2"/>
      <c r="E133" s="2"/>
      <c r="J133" s="61"/>
    </row>
    <row r="134">
      <c r="A134" s="2" t="s">
        <v>32</v>
      </c>
      <c r="B134" s="2" t="s">
        <v>258</v>
      </c>
      <c r="C134" s="5">
        <v>1290.0</v>
      </c>
      <c r="D134" s="2">
        <v>1290.0</v>
      </c>
      <c r="E134" s="2">
        <v>1290.0</v>
      </c>
      <c r="J134" s="61"/>
    </row>
    <row r="135">
      <c r="A135" s="2"/>
      <c r="B135" s="2" t="s">
        <v>230</v>
      </c>
      <c r="C135" s="2">
        <v>1590.0</v>
      </c>
      <c r="D135" s="2"/>
      <c r="E135" s="2"/>
      <c r="J135" s="61"/>
    </row>
    <row r="136">
      <c r="A136" s="2"/>
      <c r="B136" s="2" t="s">
        <v>230</v>
      </c>
      <c r="C136" s="2">
        <v>1852.0</v>
      </c>
      <c r="D136" s="2"/>
      <c r="E136" s="2"/>
    </row>
    <row r="137">
      <c r="A137" s="2"/>
      <c r="B137" s="2" t="s">
        <v>230</v>
      </c>
      <c r="C137" s="2">
        <v>1982.0</v>
      </c>
      <c r="D137" s="2"/>
      <c r="E137" s="2"/>
    </row>
    <row r="138">
      <c r="A138" s="2"/>
      <c r="B138" s="2" t="s">
        <v>230</v>
      </c>
      <c r="C138" s="2">
        <v>2587.0</v>
      </c>
      <c r="D138" s="2"/>
    </row>
    <row r="139">
      <c r="A139" s="2" t="s">
        <v>32</v>
      </c>
      <c r="B139" s="2" t="s">
        <v>230</v>
      </c>
      <c r="C139" s="2">
        <v>3144.0</v>
      </c>
      <c r="D139" s="2"/>
    </row>
    <row r="140">
      <c r="A140" s="2" t="s">
        <v>32</v>
      </c>
      <c r="B140" s="2" t="s">
        <v>258</v>
      </c>
      <c r="C140" s="5">
        <v>3994.0</v>
      </c>
      <c r="D140" s="2">
        <v>3994.0</v>
      </c>
    </row>
    <row r="141">
      <c r="A141" s="2"/>
      <c r="B141" s="2" t="s">
        <v>230</v>
      </c>
      <c r="C141" s="2">
        <v>4022.0</v>
      </c>
      <c r="D141" s="2"/>
    </row>
    <row r="142">
      <c r="A142" s="2" t="s">
        <v>32</v>
      </c>
      <c r="B142" s="2" t="s">
        <v>258</v>
      </c>
      <c r="D142" s="2">
        <v>4073.0</v>
      </c>
      <c r="G142" s="2" t="s">
        <v>1176</v>
      </c>
    </row>
    <row r="143">
      <c r="A143" s="2"/>
      <c r="B143" s="2" t="s">
        <v>230</v>
      </c>
      <c r="C143" s="2">
        <v>4544.0</v>
      </c>
      <c r="D143" s="2"/>
    </row>
    <row r="144">
      <c r="A144" s="2" t="s">
        <v>32</v>
      </c>
      <c r="B144" s="2" t="s">
        <v>258</v>
      </c>
      <c r="C144" s="5">
        <v>5707.0</v>
      </c>
      <c r="D144" s="2">
        <v>5707.0</v>
      </c>
    </row>
    <row r="145">
      <c r="A145" s="2" t="s">
        <v>32</v>
      </c>
      <c r="B145" s="2" t="s">
        <v>258</v>
      </c>
      <c r="C145" s="5">
        <v>5798.0</v>
      </c>
      <c r="D145" s="2">
        <v>5798.0</v>
      </c>
    </row>
    <row r="146">
      <c r="A146" s="2" t="s">
        <v>32</v>
      </c>
      <c r="B146" s="2" t="s">
        <v>258</v>
      </c>
      <c r="C146" s="5">
        <v>5801.0</v>
      </c>
      <c r="D146" s="2">
        <v>5801.0</v>
      </c>
    </row>
    <row r="147">
      <c r="A147" s="2" t="s">
        <v>32</v>
      </c>
      <c r="B147" s="2" t="s">
        <v>258</v>
      </c>
      <c r="C147" s="5">
        <v>6161.0</v>
      </c>
      <c r="D147" s="2">
        <v>6161.0</v>
      </c>
    </row>
    <row r="148">
      <c r="A148" s="2" t="s">
        <v>32</v>
      </c>
      <c r="B148" s="2" t="s">
        <v>258</v>
      </c>
      <c r="D148" s="2">
        <v>6509.0</v>
      </c>
    </row>
    <row r="149">
      <c r="A149" s="2" t="s">
        <v>32</v>
      </c>
      <c r="B149" s="2" t="s">
        <v>258</v>
      </c>
      <c r="C149" s="5">
        <v>6586.0</v>
      </c>
      <c r="D149" s="2">
        <v>6586.0</v>
      </c>
    </row>
    <row r="152">
      <c r="A152" s="5"/>
      <c r="B152" s="5"/>
      <c r="C152" s="5"/>
      <c r="D152" s="5"/>
      <c r="E152" s="5"/>
      <c r="F152" s="5"/>
      <c r="G152" s="5"/>
      <c r="H152" s="5"/>
      <c r="I152" s="5"/>
      <c r="J152" s="5"/>
      <c r="K152" s="5"/>
      <c r="L152" s="5"/>
      <c r="M152" s="5"/>
      <c r="N152" s="5"/>
    </row>
    <row r="153" ht="22.5" customHeight="1">
      <c r="A153" s="89" t="s">
        <v>12</v>
      </c>
      <c r="B153" s="89" t="s">
        <v>950</v>
      </c>
      <c r="C153" s="89" t="s">
        <v>951</v>
      </c>
      <c r="D153" s="89" t="s">
        <v>952</v>
      </c>
      <c r="E153" s="89" t="s">
        <v>24</v>
      </c>
      <c r="F153" s="89" t="s">
        <v>953</v>
      </c>
      <c r="G153" s="89" t="s">
        <v>954</v>
      </c>
      <c r="H153" s="89" t="s">
        <v>989</v>
      </c>
      <c r="I153" s="90" t="s">
        <v>990</v>
      </c>
      <c r="J153" s="89" t="s">
        <v>957</v>
      </c>
      <c r="K153" s="89" t="s">
        <v>958</v>
      </c>
      <c r="L153" s="89" t="s">
        <v>25</v>
      </c>
      <c r="M153" s="89" t="s">
        <v>959</v>
      </c>
      <c r="N153" s="89" t="s">
        <v>26</v>
      </c>
      <c r="O153" s="117" t="s">
        <v>960</v>
      </c>
    </row>
    <row r="154" ht="22.5" customHeight="1">
      <c r="A154" s="20">
        <v>1.0</v>
      </c>
      <c r="B154" s="20" t="s">
        <v>31</v>
      </c>
      <c r="C154" s="20">
        <v>4.0</v>
      </c>
      <c r="D154" s="20">
        <v>1.0</v>
      </c>
      <c r="E154" s="134">
        <f t="shared" ref="E154:E156" si="11">C154+D154</f>
        <v>5</v>
      </c>
      <c r="F154" s="20">
        <v>0.0</v>
      </c>
      <c r="G154" s="20">
        <v>1.0</v>
      </c>
      <c r="H154" s="134">
        <f t="shared" ref="H154:H156" si="12">F154+G154</f>
        <v>1</v>
      </c>
      <c r="I154" s="134">
        <f t="shared" ref="I154:I156" si="13">E154-H154</f>
        <v>4</v>
      </c>
      <c r="J154" s="20">
        <v>14.0</v>
      </c>
      <c r="K154" s="20" t="s">
        <v>1188</v>
      </c>
      <c r="L154" s="20" t="s">
        <v>1189</v>
      </c>
      <c r="M154" s="20"/>
      <c r="N154" s="20"/>
      <c r="O154" s="27"/>
    </row>
    <row r="155" ht="22.5" customHeight="1">
      <c r="A155" s="20">
        <v>2.0</v>
      </c>
      <c r="B155" s="20" t="s">
        <v>45</v>
      </c>
      <c r="C155" s="20">
        <v>0.0</v>
      </c>
      <c r="D155" s="20">
        <v>2.0</v>
      </c>
      <c r="E155" s="134">
        <f t="shared" si="11"/>
        <v>2</v>
      </c>
      <c r="F155" s="20">
        <v>0.0</v>
      </c>
      <c r="G155" s="20">
        <v>2.0</v>
      </c>
      <c r="H155" s="134">
        <f t="shared" si="12"/>
        <v>2</v>
      </c>
      <c r="I155" s="134">
        <f t="shared" si="13"/>
        <v>0</v>
      </c>
      <c r="J155" s="20">
        <v>5.0</v>
      </c>
      <c r="K155" s="20" t="s">
        <v>1192</v>
      </c>
      <c r="L155" s="20" t="s">
        <v>1193</v>
      </c>
      <c r="M155" s="20"/>
      <c r="N155" s="20"/>
      <c r="O155" s="27"/>
    </row>
    <row r="156" ht="22.5" customHeight="1">
      <c r="A156" s="20">
        <v>3.0</v>
      </c>
      <c r="B156" s="20" t="s">
        <v>965</v>
      </c>
      <c r="C156" s="20">
        <v>0.0</v>
      </c>
      <c r="D156" s="20">
        <v>0.0</v>
      </c>
      <c r="E156" s="134">
        <f t="shared" si="11"/>
        <v>0</v>
      </c>
      <c r="F156" s="20">
        <v>0.0</v>
      </c>
      <c r="G156" s="20">
        <v>0.0</v>
      </c>
      <c r="H156" s="134">
        <f t="shared" si="12"/>
        <v>0</v>
      </c>
      <c r="I156" s="134">
        <f t="shared" si="13"/>
        <v>0</v>
      </c>
      <c r="J156" s="20">
        <v>2.0</v>
      </c>
      <c r="K156" s="20" t="s">
        <v>1196</v>
      </c>
      <c r="L156" s="20" t="s">
        <v>1197</v>
      </c>
      <c r="M156" s="20"/>
      <c r="N156" s="20"/>
      <c r="O156" s="27"/>
    </row>
    <row r="158">
      <c r="A158" s="5" t="s">
        <v>966</v>
      </c>
    </row>
    <row r="159">
      <c r="A159" s="130" t="s">
        <v>967</v>
      </c>
      <c r="B159" s="130" t="s">
        <v>968</v>
      </c>
      <c r="C159" s="131" t="s">
        <v>969</v>
      </c>
      <c r="D159" s="131" t="s">
        <v>970</v>
      </c>
      <c r="E159" s="131" t="s">
        <v>971</v>
      </c>
    </row>
    <row r="160">
      <c r="A160" s="2"/>
      <c r="B160" s="2" t="s">
        <v>230</v>
      </c>
      <c r="C160" s="2">
        <v>269.0</v>
      </c>
      <c r="D160" s="2"/>
    </row>
    <row r="161">
      <c r="A161" s="2"/>
      <c r="B161" s="2" t="s">
        <v>230</v>
      </c>
      <c r="C161" s="2">
        <v>310.0</v>
      </c>
      <c r="D161" s="2"/>
    </row>
    <row r="162">
      <c r="A162" s="2" t="s">
        <v>32</v>
      </c>
      <c r="B162" s="2" t="s">
        <v>258</v>
      </c>
      <c r="C162" s="2">
        <v>962.0</v>
      </c>
      <c r="D162" s="2">
        <v>962.0</v>
      </c>
    </row>
    <row r="163">
      <c r="A163" s="2"/>
      <c r="B163" s="2" t="s">
        <v>230</v>
      </c>
      <c r="C163" s="2">
        <v>977.0</v>
      </c>
      <c r="D163" s="2"/>
    </row>
    <row r="164">
      <c r="A164" s="2"/>
      <c r="B164" s="2" t="s">
        <v>230</v>
      </c>
      <c r="C164" s="2">
        <v>1121.0</v>
      </c>
      <c r="D164" s="2"/>
    </row>
    <row r="165">
      <c r="A165" s="2" t="s">
        <v>32</v>
      </c>
      <c r="B165" s="2" t="s">
        <v>258</v>
      </c>
      <c r="D165" s="2">
        <v>3862.0</v>
      </c>
      <c r="G165" s="2" t="s">
        <v>1200</v>
      </c>
    </row>
    <row r="171" ht="22.5" customHeight="1">
      <c r="A171" s="89" t="s">
        <v>12</v>
      </c>
      <c r="B171" s="89" t="s">
        <v>950</v>
      </c>
      <c r="C171" s="89" t="s">
        <v>951</v>
      </c>
      <c r="D171" s="89" t="s">
        <v>952</v>
      </c>
      <c r="E171" s="89" t="s">
        <v>24</v>
      </c>
      <c r="F171" s="89" t="s">
        <v>953</v>
      </c>
      <c r="G171" s="89" t="s">
        <v>954</v>
      </c>
      <c r="H171" s="89" t="s">
        <v>989</v>
      </c>
      <c r="I171" s="90" t="s">
        <v>990</v>
      </c>
      <c r="J171" s="89" t="s">
        <v>957</v>
      </c>
      <c r="K171" s="89" t="s">
        <v>958</v>
      </c>
      <c r="L171" s="89" t="s">
        <v>25</v>
      </c>
      <c r="M171" s="89" t="s">
        <v>959</v>
      </c>
      <c r="N171" s="89" t="s">
        <v>26</v>
      </c>
      <c r="O171" s="117" t="s">
        <v>960</v>
      </c>
    </row>
    <row r="172" ht="22.5" customHeight="1">
      <c r="A172" s="20">
        <v>1.0</v>
      </c>
      <c r="B172" s="20" t="s">
        <v>31</v>
      </c>
      <c r="C172" s="20">
        <v>2.0</v>
      </c>
      <c r="D172" s="20">
        <v>20.0</v>
      </c>
      <c r="E172" s="134">
        <f>C172+D172</f>
        <v>22</v>
      </c>
      <c r="F172" s="20">
        <v>0.0</v>
      </c>
      <c r="G172" s="20">
        <v>18.0</v>
      </c>
      <c r="H172" s="109">
        <f t="shared" ref="H172:H174" si="14">F172+G172</f>
        <v>18</v>
      </c>
      <c r="I172" s="134">
        <f t="shared" ref="I172:I174" si="15">E172-H172</f>
        <v>4</v>
      </c>
      <c r="J172" s="20">
        <v>28.0</v>
      </c>
      <c r="K172" s="20" t="s">
        <v>1208</v>
      </c>
      <c r="L172" s="20" t="s">
        <v>1209</v>
      </c>
      <c r="M172" s="20"/>
      <c r="N172" s="26"/>
      <c r="O172" s="27"/>
    </row>
    <row r="173" ht="22.5" customHeight="1">
      <c r="A173" s="20">
        <v>2.0</v>
      </c>
      <c r="B173" s="20" t="s">
        <v>45</v>
      </c>
      <c r="C173" s="20">
        <v>0.0</v>
      </c>
      <c r="D173" s="20">
        <v>14.0</v>
      </c>
      <c r="E173" s="134">
        <f>D173+C173</f>
        <v>14</v>
      </c>
      <c r="F173" s="20">
        <v>0.0</v>
      </c>
      <c r="G173" s="20">
        <v>14.0</v>
      </c>
      <c r="H173" s="134">
        <f t="shared" si="14"/>
        <v>14</v>
      </c>
      <c r="I173" s="134">
        <f t="shared" si="15"/>
        <v>0</v>
      </c>
      <c r="J173" s="20">
        <v>20.0</v>
      </c>
      <c r="K173" s="20" t="s">
        <v>1214</v>
      </c>
      <c r="L173" s="20" t="s">
        <v>1215</v>
      </c>
      <c r="M173" s="20"/>
      <c r="N173" s="20"/>
      <c r="O173" s="27"/>
    </row>
    <row r="174" ht="22.5" customHeight="1">
      <c r="A174" s="20">
        <v>3.0</v>
      </c>
      <c r="B174" s="20" t="s">
        <v>965</v>
      </c>
      <c r="C174" s="20">
        <v>0.0</v>
      </c>
      <c r="D174" s="20">
        <v>0.0</v>
      </c>
      <c r="E174" s="134">
        <f>C174+D174</f>
        <v>0</v>
      </c>
      <c r="F174" s="20">
        <v>0.0</v>
      </c>
      <c r="G174" s="20">
        <v>0.0</v>
      </c>
      <c r="H174" s="109">
        <f t="shared" si="14"/>
        <v>0</v>
      </c>
      <c r="I174" s="134">
        <f t="shared" si="15"/>
        <v>0</v>
      </c>
      <c r="J174" s="20">
        <v>2.0</v>
      </c>
      <c r="K174" s="20" t="s">
        <v>1216</v>
      </c>
      <c r="L174" s="20" t="s">
        <v>1216</v>
      </c>
      <c r="M174" s="20"/>
      <c r="N174" s="26"/>
      <c r="O174" s="27"/>
    </row>
    <row r="176">
      <c r="A176" s="5" t="s">
        <v>966</v>
      </c>
    </row>
    <row r="177">
      <c r="A177" s="130" t="s">
        <v>967</v>
      </c>
      <c r="B177" s="130" t="s">
        <v>968</v>
      </c>
      <c r="C177" s="131" t="s">
        <v>969</v>
      </c>
      <c r="D177" s="131" t="s">
        <v>970</v>
      </c>
      <c r="E177" s="131" t="s">
        <v>971</v>
      </c>
    </row>
    <row r="178">
      <c r="A178" s="2" t="s">
        <v>32</v>
      </c>
      <c r="B178" s="2" t="s">
        <v>258</v>
      </c>
      <c r="C178" s="2">
        <v>197.0</v>
      </c>
      <c r="D178" s="2">
        <v>197.0</v>
      </c>
    </row>
    <row r="179">
      <c r="A179" s="2"/>
      <c r="B179" s="2" t="s">
        <v>230</v>
      </c>
      <c r="C179" s="2">
        <v>568.0</v>
      </c>
      <c r="D179" s="2"/>
    </row>
    <row r="180">
      <c r="A180" s="2" t="s">
        <v>32</v>
      </c>
      <c r="B180" s="2" t="s">
        <v>258</v>
      </c>
      <c r="C180" s="2">
        <v>1097.0</v>
      </c>
      <c r="D180" s="2">
        <v>1097.0</v>
      </c>
    </row>
    <row r="181">
      <c r="A181" s="2"/>
      <c r="B181" s="2" t="s">
        <v>230</v>
      </c>
      <c r="C181" s="2">
        <v>1170.0</v>
      </c>
      <c r="D181" s="2"/>
    </row>
    <row r="182">
      <c r="A182" s="2"/>
      <c r="B182" s="2" t="s">
        <v>258</v>
      </c>
      <c r="C182" s="2">
        <v>1298.0</v>
      </c>
      <c r="D182" s="2"/>
    </row>
    <row r="183">
      <c r="A183" s="2"/>
      <c r="B183" s="2" t="s">
        <v>258</v>
      </c>
      <c r="C183" s="2">
        <v>1341.0</v>
      </c>
      <c r="D183" s="2"/>
    </row>
    <row r="184">
      <c r="A184" s="2" t="s">
        <v>32</v>
      </c>
      <c r="B184" s="2" t="s">
        <v>258</v>
      </c>
      <c r="C184" s="2">
        <v>1356.0</v>
      </c>
      <c r="D184" s="2">
        <v>1356.0</v>
      </c>
    </row>
    <row r="185">
      <c r="A185" s="2" t="s">
        <v>32</v>
      </c>
      <c r="B185" s="2" t="s">
        <v>258</v>
      </c>
      <c r="C185" s="2">
        <v>1390.0</v>
      </c>
      <c r="D185" s="2"/>
    </row>
    <row r="186">
      <c r="A186" s="2" t="s">
        <v>32</v>
      </c>
      <c r="B186" s="2" t="s">
        <v>258</v>
      </c>
      <c r="C186" s="2">
        <v>1818.0</v>
      </c>
      <c r="D186" s="2">
        <v>1818.0</v>
      </c>
    </row>
    <row r="187">
      <c r="A187" s="2" t="s">
        <v>32</v>
      </c>
      <c r="B187" s="2" t="s">
        <v>258</v>
      </c>
      <c r="C187" s="2">
        <v>2231.0</v>
      </c>
      <c r="D187" s="2"/>
    </row>
    <row r="188">
      <c r="A188" s="2" t="s">
        <v>32</v>
      </c>
      <c r="B188" s="2" t="s">
        <v>258</v>
      </c>
      <c r="C188" s="2">
        <v>2336.0</v>
      </c>
      <c r="D188" s="2"/>
    </row>
    <row r="189">
      <c r="A189" s="2" t="s">
        <v>32</v>
      </c>
      <c r="B189" s="2" t="s">
        <v>258</v>
      </c>
      <c r="C189" s="2">
        <v>2552.0</v>
      </c>
      <c r="D189" s="2"/>
      <c r="G189" s="72"/>
    </row>
    <row r="190">
      <c r="A190" s="2" t="s">
        <v>32</v>
      </c>
      <c r="B190" s="2" t="s">
        <v>258</v>
      </c>
      <c r="C190" s="2">
        <v>2562.0</v>
      </c>
      <c r="D190" s="2">
        <v>2562.0</v>
      </c>
      <c r="G190" s="72"/>
    </row>
    <row r="191">
      <c r="A191" s="2" t="s">
        <v>32</v>
      </c>
      <c r="B191" s="2" t="s">
        <v>258</v>
      </c>
      <c r="C191" s="5">
        <v>2570.0</v>
      </c>
      <c r="D191" s="2">
        <v>2570.0</v>
      </c>
      <c r="G191" s="72"/>
    </row>
    <row r="192">
      <c r="A192" s="2" t="s">
        <v>32</v>
      </c>
      <c r="B192" s="2" t="s">
        <v>258</v>
      </c>
      <c r="C192" s="5">
        <v>2588.0</v>
      </c>
      <c r="D192" s="2">
        <v>2588.0</v>
      </c>
      <c r="G192" s="72"/>
    </row>
    <row r="193">
      <c r="A193" s="2" t="s">
        <v>32</v>
      </c>
      <c r="B193" s="2" t="s">
        <v>258</v>
      </c>
      <c r="C193" s="2">
        <v>2893.0</v>
      </c>
      <c r="D193" s="2"/>
      <c r="G193" s="72"/>
    </row>
    <row r="194">
      <c r="A194" s="2" t="s">
        <v>32</v>
      </c>
      <c r="B194" s="2" t="s">
        <v>258</v>
      </c>
      <c r="C194" s="2">
        <v>3057.0</v>
      </c>
      <c r="D194" s="2">
        <v>3057.0</v>
      </c>
      <c r="G194" s="72"/>
    </row>
    <row r="195">
      <c r="A195" s="2" t="s">
        <v>32</v>
      </c>
      <c r="B195" s="2" t="s">
        <v>258</v>
      </c>
      <c r="C195" s="5">
        <v>3072.0</v>
      </c>
      <c r="D195" s="2">
        <v>3072.0</v>
      </c>
      <c r="G195" s="72"/>
    </row>
    <row r="196">
      <c r="A196" s="2" t="s">
        <v>32</v>
      </c>
      <c r="B196" s="2" t="s">
        <v>258</v>
      </c>
      <c r="C196" s="2">
        <v>3187.0</v>
      </c>
      <c r="D196" s="2">
        <v>3187.0</v>
      </c>
      <c r="G196" s="246"/>
    </row>
    <row r="197">
      <c r="A197" s="2" t="s">
        <v>32</v>
      </c>
      <c r="B197" s="2" t="s">
        <v>258</v>
      </c>
      <c r="C197" s="5">
        <v>3390.0</v>
      </c>
      <c r="D197" s="2">
        <v>3390.0</v>
      </c>
      <c r="G197" s="72"/>
    </row>
    <row r="198">
      <c r="A198" s="2" t="s">
        <v>32</v>
      </c>
      <c r="B198" s="2" t="s">
        <v>258</v>
      </c>
      <c r="D198" s="2">
        <v>3465.0</v>
      </c>
      <c r="F198" s="2" t="s">
        <v>1222</v>
      </c>
      <c r="G198" s="71"/>
    </row>
    <row r="199">
      <c r="A199" s="2" t="s">
        <v>32</v>
      </c>
      <c r="B199" s="2" t="s">
        <v>258</v>
      </c>
      <c r="C199" s="5">
        <v>3839.0</v>
      </c>
      <c r="D199" s="2">
        <v>3839.0</v>
      </c>
    </row>
    <row r="200">
      <c r="A200" s="2" t="s">
        <v>32</v>
      </c>
      <c r="B200" s="2" t="s">
        <v>258</v>
      </c>
      <c r="C200" s="2">
        <v>3904.0</v>
      </c>
      <c r="D200" s="2">
        <v>3904.0</v>
      </c>
    </row>
    <row r="204" ht="22.5" customHeight="1">
      <c r="A204" s="89" t="s">
        <v>12</v>
      </c>
      <c r="B204" s="89" t="s">
        <v>950</v>
      </c>
      <c r="C204" s="89" t="s">
        <v>951</v>
      </c>
      <c r="D204" s="89" t="s">
        <v>952</v>
      </c>
      <c r="E204" s="89" t="s">
        <v>24</v>
      </c>
      <c r="F204" s="89" t="s">
        <v>953</v>
      </c>
      <c r="G204" s="89" t="s">
        <v>954</v>
      </c>
      <c r="H204" s="89" t="s">
        <v>989</v>
      </c>
      <c r="I204" s="90" t="s">
        <v>990</v>
      </c>
      <c r="J204" s="89" t="s">
        <v>957</v>
      </c>
      <c r="K204" s="89" t="s">
        <v>958</v>
      </c>
      <c r="L204" s="89" t="s">
        <v>25</v>
      </c>
      <c r="M204" s="89" t="s">
        <v>959</v>
      </c>
      <c r="N204" s="89" t="s">
        <v>26</v>
      </c>
      <c r="O204" s="117" t="s">
        <v>960</v>
      </c>
    </row>
    <row r="205" ht="22.5" customHeight="1">
      <c r="A205" s="20">
        <v>1.0</v>
      </c>
      <c r="B205" s="20" t="s">
        <v>31</v>
      </c>
      <c r="C205" s="20">
        <v>1.0</v>
      </c>
      <c r="D205" s="20">
        <v>2.0</v>
      </c>
      <c r="E205" s="134">
        <f>C205+D205</f>
        <v>3</v>
      </c>
      <c r="F205" s="20">
        <v>0.0</v>
      </c>
      <c r="G205" s="20">
        <v>0.0</v>
      </c>
      <c r="H205" s="109">
        <f t="shared" ref="H205:H207" si="16">F205+G205</f>
        <v>0</v>
      </c>
      <c r="I205" s="134">
        <f t="shared" ref="I205:I207" si="17">E205-H205</f>
        <v>3</v>
      </c>
      <c r="J205" s="20">
        <v>6.0</v>
      </c>
      <c r="K205" s="20" t="s">
        <v>1226</v>
      </c>
      <c r="L205" s="20" t="s">
        <v>1227</v>
      </c>
      <c r="M205" s="20"/>
      <c r="N205" s="26"/>
      <c r="O205" s="27"/>
    </row>
    <row r="206" ht="22.5" customHeight="1">
      <c r="A206" s="20">
        <v>2.0</v>
      </c>
      <c r="B206" s="20" t="s">
        <v>45</v>
      </c>
      <c r="C206" s="20">
        <v>0.0</v>
      </c>
      <c r="D206" s="20">
        <v>0.0</v>
      </c>
      <c r="E206" s="134">
        <f>D206+C206</f>
        <v>0</v>
      </c>
      <c r="F206" s="20">
        <v>0.0</v>
      </c>
      <c r="G206" s="20">
        <v>0.0</v>
      </c>
      <c r="H206" s="134">
        <f t="shared" si="16"/>
        <v>0</v>
      </c>
      <c r="I206" s="134">
        <f t="shared" si="17"/>
        <v>0</v>
      </c>
      <c r="J206" s="20">
        <v>0.0</v>
      </c>
      <c r="K206" s="20" t="s">
        <v>1229</v>
      </c>
      <c r="L206" s="20" t="s">
        <v>1229</v>
      </c>
      <c r="M206" s="20" t="s">
        <v>1230</v>
      </c>
      <c r="N206" s="26" t="s">
        <v>1230</v>
      </c>
      <c r="O206" s="26">
        <v>0.0</v>
      </c>
    </row>
    <row r="207" ht="22.5" customHeight="1">
      <c r="A207" s="20">
        <v>3.0</v>
      </c>
      <c r="B207" s="20" t="s">
        <v>965</v>
      </c>
      <c r="C207" s="20">
        <v>0.0</v>
      </c>
      <c r="D207" s="20">
        <v>0.0</v>
      </c>
      <c r="E207" s="134">
        <f>C207+D207</f>
        <v>0</v>
      </c>
      <c r="F207" s="20">
        <v>0.0</v>
      </c>
      <c r="G207" s="20">
        <v>0.0</v>
      </c>
      <c r="H207" s="109">
        <f t="shared" si="16"/>
        <v>0</v>
      </c>
      <c r="I207" s="134">
        <f t="shared" si="17"/>
        <v>0</v>
      </c>
      <c r="J207" s="20">
        <v>0.0</v>
      </c>
      <c r="K207" s="20" t="s">
        <v>1146</v>
      </c>
      <c r="L207" s="20" t="s">
        <v>1146</v>
      </c>
      <c r="M207" s="20" t="s">
        <v>1230</v>
      </c>
      <c r="N207" s="26" t="s">
        <v>1230</v>
      </c>
      <c r="O207" s="26">
        <v>0.0</v>
      </c>
    </row>
    <row r="209">
      <c r="A209" s="5" t="s">
        <v>966</v>
      </c>
    </row>
    <row r="210">
      <c r="A210" s="130" t="s">
        <v>967</v>
      </c>
      <c r="B210" s="130" t="s">
        <v>968</v>
      </c>
      <c r="C210" s="131" t="s">
        <v>969</v>
      </c>
      <c r="D210" s="131" t="s">
        <v>970</v>
      </c>
      <c r="E210" s="131" t="s">
        <v>971</v>
      </c>
    </row>
    <row r="211">
      <c r="B211" s="2" t="s">
        <v>258</v>
      </c>
      <c r="C211" s="2">
        <v>106.0</v>
      </c>
    </row>
    <row r="212">
      <c r="B212" s="2" t="s">
        <v>230</v>
      </c>
      <c r="C212" s="2">
        <v>184.0</v>
      </c>
    </row>
    <row r="213">
      <c r="B213" s="2" t="s">
        <v>258</v>
      </c>
      <c r="C213" s="2">
        <v>212.0</v>
      </c>
    </row>
    <row r="217">
      <c r="A217" s="128" t="s">
        <v>109</v>
      </c>
    </row>
    <row r="219">
      <c r="A219" s="5"/>
      <c r="B219" s="5"/>
      <c r="C219" s="5"/>
      <c r="D219" s="5"/>
      <c r="E219" s="5"/>
      <c r="F219" s="5"/>
      <c r="G219" s="5"/>
      <c r="H219" s="5"/>
      <c r="I219" s="5"/>
      <c r="J219" s="5"/>
      <c r="K219" s="5"/>
      <c r="L219" s="5"/>
      <c r="M219" s="5"/>
      <c r="N219" s="5"/>
    </row>
    <row r="220" ht="22.5" customHeight="1">
      <c r="A220" s="89" t="s">
        <v>12</v>
      </c>
      <c r="B220" s="89" t="s">
        <v>950</v>
      </c>
      <c r="C220" s="89" t="s">
        <v>951</v>
      </c>
      <c r="D220" s="89" t="s">
        <v>952</v>
      </c>
      <c r="E220" s="89" t="s">
        <v>24</v>
      </c>
      <c r="F220" s="89" t="s">
        <v>953</v>
      </c>
      <c r="G220" s="89" t="s">
        <v>954</v>
      </c>
      <c r="H220" s="89" t="s">
        <v>955</v>
      </c>
      <c r="I220" s="90" t="s">
        <v>990</v>
      </c>
      <c r="J220" s="89" t="s">
        <v>957</v>
      </c>
      <c r="K220" s="89" t="s">
        <v>958</v>
      </c>
      <c r="L220" s="89" t="s">
        <v>25</v>
      </c>
      <c r="M220" s="89" t="s">
        <v>959</v>
      </c>
      <c r="N220" s="89" t="s">
        <v>26</v>
      </c>
      <c r="O220" s="117" t="s">
        <v>960</v>
      </c>
    </row>
    <row r="221" ht="22.5" customHeight="1">
      <c r="A221" s="20">
        <v>1.0</v>
      </c>
      <c r="B221" s="20" t="s">
        <v>31</v>
      </c>
      <c r="C221" s="20">
        <v>14.0</v>
      </c>
      <c r="D221" s="20">
        <v>14.0</v>
      </c>
      <c r="E221" s="129">
        <f t="shared" ref="E221:E223" si="18">C221+D221</f>
        <v>28</v>
      </c>
      <c r="F221" s="20">
        <v>3.0</v>
      </c>
      <c r="G221" s="20">
        <v>10.0</v>
      </c>
      <c r="H221" s="109">
        <f t="shared" ref="H221:H223" si="19">F221+G221</f>
        <v>13</v>
      </c>
      <c r="I221" s="134">
        <f t="shared" ref="I221:I223" si="20">E221-H221</f>
        <v>15</v>
      </c>
      <c r="J221" s="20">
        <v>30.0</v>
      </c>
      <c r="K221" s="20" t="s">
        <v>1236</v>
      </c>
      <c r="L221" s="20" t="s">
        <v>1237</v>
      </c>
      <c r="M221" s="20"/>
      <c r="N221" s="20"/>
      <c r="O221" s="27"/>
    </row>
    <row r="222" ht="22.5" customHeight="1">
      <c r="A222" s="20">
        <v>2.0</v>
      </c>
      <c r="B222" s="20" t="s">
        <v>45</v>
      </c>
      <c r="C222" s="118">
        <v>2.0</v>
      </c>
      <c r="D222" s="118">
        <v>12.0</v>
      </c>
      <c r="E222" s="129">
        <f t="shared" si="18"/>
        <v>14</v>
      </c>
      <c r="F222" s="118">
        <v>2.0</v>
      </c>
      <c r="G222" s="118">
        <v>12.0</v>
      </c>
      <c r="H222" s="109">
        <f t="shared" si="19"/>
        <v>14</v>
      </c>
      <c r="I222" s="134">
        <f t="shared" si="20"/>
        <v>0</v>
      </c>
      <c r="J222" s="118">
        <v>21.0</v>
      </c>
      <c r="K222" s="118" t="s">
        <v>1238</v>
      </c>
      <c r="L222" s="118" t="s">
        <v>63</v>
      </c>
      <c r="O222" s="45"/>
    </row>
    <row r="223" ht="22.5" customHeight="1">
      <c r="A223" s="20">
        <v>3.0</v>
      </c>
      <c r="B223" s="20" t="s">
        <v>965</v>
      </c>
      <c r="C223" s="20">
        <v>2.0</v>
      </c>
      <c r="D223" s="20">
        <v>3.0</v>
      </c>
      <c r="E223" s="129">
        <f t="shared" si="18"/>
        <v>5</v>
      </c>
      <c r="F223" s="20">
        <v>2.0</v>
      </c>
      <c r="G223" s="20">
        <v>3.0</v>
      </c>
      <c r="H223" s="109">
        <f t="shared" si="19"/>
        <v>5</v>
      </c>
      <c r="I223" s="134">
        <f t="shared" si="20"/>
        <v>0</v>
      </c>
      <c r="J223" s="20">
        <v>16.0</v>
      </c>
      <c r="K223" s="20" t="s">
        <v>1240</v>
      </c>
      <c r="L223" s="20" t="s">
        <v>1241</v>
      </c>
      <c r="M223" s="20"/>
      <c r="N223" s="20"/>
      <c r="O223" s="27"/>
    </row>
    <row r="225">
      <c r="A225" s="5" t="s">
        <v>966</v>
      </c>
    </row>
    <row r="226">
      <c r="A226" s="130" t="s">
        <v>967</v>
      </c>
      <c r="B226" s="130" t="s">
        <v>968</v>
      </c>
      <c r="C226" s="131" t="s">
        <v>969</v>
      </c>
      <c r="D226" s="131" t="s">
        <v>970</v>
      </c>
      <c r="E226" s="131" t="s">
        <v>971</v>
      </c>
    </row>
    <row r="227">
      <c r="B227" s="2" t="s">
        <v>230</v>
      </c>
      <c r="C227" s="2">
        <v>30.0</v>
      </c>
      <c r="E227" s="2"/>
    </row>
    <row r="228">
      <c r="B228" s="2" t="s">
        <v>230</v>
      </c>
      <c r="C228" s="2">
        <v>59.0</v>
      </c>
      <c r="E228" s="2"/>
    </row>
    <row r="229">
      <c r="B229" s="2" t="s">
        <v>230</v>
      </c>
      <c r="C229" s="2">
        <v>73.0</v>
      </c>
      <c r="E229" s="2"/>
    </row>
    <row r="230">
      <c r="B230" s="2" t="s">
        <v>258</v>
      </c>
      <c r="C230" s="2">
        <v>76.0</v>
      </c>
      <c r="E230" s="2"/>
    </row>
    <row r="231">
      <c r="B231" s="2" t="s">
        <v>258</v>
      </c>
      <c r="C231" s="2">
        <v>84.0</v>
      </c>
      <c r="E231" s="2"/>
    </row>
    <row r="232">
      <c r="B232" s="2" t="s">
        <v>230</v>
      </c>
      <c r="C232" s="2">
        <v>123.0</v>
      </c>
      <c r="E232" s="2"/>
    </row>
    <row r="233">
      <c r="A233" s="2" t="s">
        <v>32</v>
      </c>
      <c r="B233" s="2" t="s">
        <v>258</v>
      </c>
      <c r="C233" s="2"/>
      <c r="D233" s="2">
        <v>152.0</v>
      </c>
      <c r="E233" s="2"/>
      <c r="G233" s="2" t="s">
        <v>1172</v>
      </c>
    </row>
    <row r="234">
      <c r="A234" s="2" t="s">
        <v>32</v>
      </c>
      <c r="B234" s="2" t="s">
        <v>230</v>
      </c>
      <c r="C234" s="2">
        <v>173.0</v>
      </c>
      <c r="D234" s="2">
        <v>173.0</v>
      </c>
      <c r="E234" s="2">
        <v>173.0</v>
      </c>
    </row>
    <row r="235">
      <c r="A235" s="2"/>
      <c r="B235" s="2" t="s">
        <v>230</v>
      </c>
      <c r="C235" s="2">
        <v>274.0</v>
      </c>
      <c r="E235" s="2"/>
    </row>
    <row r="236">
      <c r="A236" s="2"/>
      <c r="B236" s="2" t="s">
        <v>258</v>
      </c>
      <c r="C236" s="2">
        <v>279.0</v>
      </c>
      <c r="E236" s="2"/>
    </row>
    <row r="237">
      <c r="A237" s="2" t="s">
        <v>32</v>
      </c>
      <c r="B237" s="2" t="s">
        <v>230</v>
      </c>
      <c r="C237" s="2">
        <v>409.0</v>
      </c>
      <c r="E237" s="2"/>
    </row>
    <row r="238">
      <c r="A238" s="2"/>
      <c r="B238" s="2" t="s">
        <v>258</v>
      </c>
      <c r="C238" s="2">
        <v>420.0</v>
      </c>
      <c r="E238" s="2"/>
    </row>
    <row r="239">
      <c r="A239" s="2" t="s">
        <v>32</v>
      </c>
      <c r="B239" s="2" t="s">
        <v>258</v>
      </c>
      <c r="C239" s="5">
        <v>443.0</v>
      </c>
      <c r="D239" s="2">
        <v>443.0</v>
      </c>
      <c r="E239" s="2"/>
    </row>
    <row r="240">
      <c r="A240" s="2"/>
      <c r="B240" s="2" t="s">
        <v>230</v>
      </c>
      <c r="C240" s="2">
        <v>703.0</v>
      </c>
      <c r="E240" s="2"/>
    </row>
    <row r="241">
      <c r="A241" s="2"/>
      <c r="B241" s="2" t="s">
        <v>230</v>
      </c>
      <c r="C241" s="2">
        <v>727.0</v>
      </c>
      <c r="E241" s="2"/>
    </row>
    <row r="242">
      <c r="A242" s="2" t="s">
        <v>32</v>
      </c>
      <c r="B242" s="2" t="s">
        <v>258</v>
      </c>
      <c r="C242" s="5">
        <v>994.0</v>
      </c>
      <c r="E242" s="2">
        <v>994.0</v>
      </c>
    </row>
    <row r="243">
      <c r="A243" s="2" t="s">
        <v>32</v>
      </c>
      <c r="B243" s="2" t="s">
        <v>258</v>
      </c>
      <c r="C243" s="5">
        <v>1141.0</v>
      </c>
      <c r="D243" s="2">
        <v>1141.0</v>
      </c>
      <c r="E243" s="2"/>
    </row>
    <row r="244">
      <c r="A244" s="2" t="s">
        <v>32</v>
      </c>
      <c r="B244" s="2" t="s">
        <v>230</v>
      </c>
      <c r="C244" s="5">
        <v>1198.0</v>
      </c>
      <c r="D244" s="2">
        <v>1198.0</v>
      </c>
      <c r="E244" s="2">
        <v>1198.0</v>
      </c>
    </row>
    <row r="245">
      <c r="A245" s="2" t="s">
        <v>32</v>
      </c>
      <c r="B245" s="2" t="s">
        <v>258</v>
      </c>
      <c r="C245" s="5">
        <v>1279.0</v>
      </c>
      <c r="D245" s="2">
        <v>1279.0</v>
      </c>
      <c r="E245" s="2"/>
    </row>
    <row r="246">
      <c r="A246" s="2" t="s">
        <v>32</v>
      </c>
      <c r="B246" s="2" t="s">
        <v>258</v>
      </c>
      <c r="C246" s="5">
        <v>1290.0</v>
      </c>
      <c r="D246" s="2">
        <v>1290.0</v>
      </c>
      <c r="E246" s="2">
        <v>1290.0</v>
      </c>
    </row>
    <row r="247">
      <c r="B247" s="2" t="s">
        <v>230</v>
      </c>
      <c r="C247" s="2">
        <v>1590.0</v>
      </c>
      <c r="E247" s="2"/>
    </row>
    <row r="248">
      <c r="B248" s="2" t="s">
        <v>230</v>
      </c>
      <c r="C248" s="2">
        <v>1852.0</v>
      </c>
      <c r="E248" s="2"/>
    </row>
    <row r="249">
      <c r="A249" s="2" t="s">
        <v>32</v>
      </c>
      <c r="B249" s="2" t="s">
        <v>258</v>
      </c>
      <c r="C249" s="5">
        <v>3994.0</v>
      </c>
      <c r="D249" s="2">
        <v>3994.0</v>
      </c>
      <c r="E249" s="2"/>
    </row>
    <row r="250">
      <c r="B250" s="2" t="s">
        <v>230</v>
      </c>
      <c r="C250" s="2">
        <v>4022.0</v>
      </c>
      <c r="E250" s="2"/>
    </row>
    <row r="251">
      <c r="A251" s="2" t="s">
        <v>32</v>
      </c>
      <c r="B251" s="2" t="s">
        <v>258</v>
      </c>
      <c r="C251" s="2"/>
      <c r="D251" s="2">
        <v>4073.0</v>
      </c>
      <c r="E251" s="2"/>
    </row>
    <row r="252">
      <c r="B252" s="2" t="s">
        <v>230</v>
      </c>
      <c r="C252" s="2">
        <v>4544.0</v>
      </c>
      <c r="E252" s="2"/>
    </row>
    <row r="253">
      <c r="A253" s="2" t="s">
        <v>32</v>
      </c>
      <c r="B253" s="2" t="s">
        <v>258</v>
      </c>
      <c r="C253" s="5">
        <v>5707.0</v>
      </c>
      <c r="D253" s="2">
        <v>5707.0</v>
      </c>
      <c r="E253" s="2"/>
    </row>
    <row r="254">
      <c r="A254" s="2" t="s">
        <v>32</v>
      </c>
      <c r="B254" s="2" t="s">
        <v>258</v>
      </c>
      <c r="C254" s="5">
        <v>5801.0</v>
      </c>
      <c r="D254" s="2">
        <v>5801.0</v>
      </c>
      <c r="E254" s="2"/>
    </row>
    <row r="255">
      <c r="A255" s="2" t="s">
        <v>32</v>
      </c>
      <c r="B255" s="2" t="s">
        <v>258</v>
      </c>
      <c r="C255" s="5">
        <v>6161.0</v>
      </c>
      <c r="D255" s="2">
        <v>6161.0</v>
      </c>
      <c r="E255" s="2">
        <v>6161.0</v>
      </c>
    </row>
    <row r="256">
      <c r="A256" s="2" t="s">
        <v>32</v>
      </c>
      <c r="B256" s="2" t="s">
        <v>258</v>
      </c>
      <c r="D256" s="2">
        <v>6509.0</v>
      </c>
    </row>
    <row r="257">
      <c r="A257" s="2" t="s">
        <v>32</v>
      </c>
      <c r="B257" s="2" t="s">
        <v>258</v>
      </c>
      <c r="C257" s="5">
        <v>6586.0</v>
      </c>
      <c r="D257" s="2">
        <v>6586.0</v>
      </c>
    </row>
    <row r="259">
      <c r="A259" s="5"/>
      <c r="B259" s="5"/>
      <c r="C259" s="5"/>
      <c r="D259" s="5"/>
      <c r="E259" s="5"/>
      <c r="F259" s="5"/>
      <c r="G259" s="5"/>
      <c r="H259" s="5"/>
      <c r="I259" s="5"/>
      <c r="J259" s="5"/>
      <c r="K259" s="5"/>
      <c r="L259" s="5"/>
      <c r="M259" s="5"/>
      <c r="N259" s="5"/>
    </row>
    <row r="260" ht="22.5" customHeight="1">
      <c r="A260" s="89" t="s">
        <v>12</v>
      </c>
      <c r="B260" s="89" t="s">
        <v>950</v>
      </c>
      <c r="C260" s="89" t="s">
        <v>951</v>
      </c>
      <c r="D260" s="89" t="s">
        <v>952</v>
      </c>
      <c r="E260" s="89" t="s">
        <v>24</v>
      </c>
      <c r="F260" s="89" t="s">
        <v>953</v>
      </c>
      <c r="G260" s="89" t="s">
        <v>954</v>
      </c>
      <c r="H260" s="89" t="s">
        <v>955</v>
      </c>
      <c r="I260" s="90" t="s">
        <v>990</v>
      </c>
      <c r="J260" s="89" t="s">
        <v>957</v>
      </c>
      <c r="K260" s="89" t="s">
        <v>958</v>
      </c>
      <c r="L260" s="89" t="s">
        <v>25</v>
      </c>
      <c r="M260" s="89" t="s">
        <v>959</v>
      </c>
      <c r="N260" s="89" t="s">
        <v>26</v>
      </c>
      <c r="O260" s="117" t="s">
        <v>960</v>
      </c>
    </row>
    <row r="261" ht="22.5" customHeight="1">
      <c r="A261" s="20">
        <v>1.0</v>
      </c>
      <c r="B261" s="20" t="s">
        <v>31</v>
      </c>
      <c r="C261" s="118">
        <v>6.0</v>
      </c>
      <c r="D261" s="118">
        <v>1.0</v>
      </c>
      <c r="E261" s="129">
        <f t="shared" ref="E261:E263" si="21">C261+D261</f>
        <v>7</v>
      </c>
      <c r="F261" s="118">
        <v>1.0</v>
      </c>
      <c r="G261" s="118">
        <v>1.0</v>
      </c>
      <c r="H261" s="109">
        <f t="shared" ref="H261:H263" si="22">F261+G261</f>
        <v>2</v>
      </c>
      <c r="I261" s="134">
        <f t="shared" ref="I261:I263" si="23">E261-H261</f>
        <v>5</v>
      </c>
      <c r="J261" s="20">
        <v>9.0</v>
      </c>
      <c r="K261" s="20" t="s">
        <v>1248</v>
      </c>
      <c r="L261" s="20" t="s">
        <v>1249</v>
      </c>
      <c r="M261" s="20"/>
      <c r="N261" s="20"/>
      <c r="O261" s="27"/>
    </row>
    <row r="262" ht="22.5" customHeight="1">
      <c r="A262" s="20">
        <v>2.0</v>
      </c>
      <c r="B262" s="20" t="s">
        <v>45</v>
      </c>
      <c r="C262" s="118">
        <v>0.0</v>
      </c>
      <c r="D262" s="118">
        <v>0.0</v>
      </c>
      <c r="E262" s="129">
        <f t="shared" si="21"/>
        <v>0</v>
      </c>
      <c r="F262" s="118">
        <v>0.0</v>
      </c>
      <c r="G262" s="118">
        <v>0.0</v>
      </c>
      <c r="H262" s="109">
        <f t="shared" si="22"/>
        <v>0</v>
      </c>
      <c r="I262" s="134">
        <f t="shared" si="23"/>
        <v>0</v>
      </c>
      <c r="J262" s="118">
        <v>0.0</v>
      </c>
      <c r="K262" s="118" t="s">
        <v>1251</v>
      </c>
      <c r="L262" s="118" t="s">
        <v>1252</v>
      </c>
      <c r="O262" s="45"/>
      <c r="R262" s="2" t="s">
        <v>1253</v>
      </c>
      <c r="S262" s="247">
        <v>46060.0</v>
      </c>
    </row>
    <row r="263" ht="22.5" customHeight="1">
      <c r="A263" s="20">
        <v>3.0</v>
      </c>
      <c r="B263" s="20" t="s">
        <v>965</v>
      </c>
      <c r="C263" s="20">
        <v>0.0</v>
      </c>
      <c r="D263" s="20">
        <v>1.0</v>
      </c>
      <c r="E263" s="129">
        <f t="shared" si="21"/>
        <v>1</v>
      </c>
      <c r="F263" s="20">
        <v>0.0</v>
      </c>
      <c r="G263" s="20">
        <v>1.0</v>
      </c>
      <c r="H263" s="109">
        <f t="shared" si="22"/>
        <v>1</v>
      </c>
      <c r="I263" s="134">
        <f t="shared" si="23"/>
        <v>0</v>
      </c>
      <c r="J263" s="20">
        <v>12.0</v>
      </c>
      <c r="K263" s="20" t="s">
        <v>1255</v>
      </c>
      <c r="L263" s="20" t="s">
        <v>1256</v>
      </c>
      <c r="M263" s="20"/>
      <c r="N263" s="20"/>
      <c r="O263" s="27"/>
    </row>
    <row r="265">
      <c r="A265" s="5" t="s">
        <v>966</v>
      </c>
    </row>
    <row r="266">
      <c r="A266" s="130" t="s">
        <v>967</v>
      </c>
      <c r="B266" s="130" t="s">
        <v>968</v>
      </c>
      <c r="C266" s="131" t="s">
        <v>969</v>
      </c>
      <c r="D266" s="131" t="s">
        <v>970</v>
      </c>
      <c r="E266" s="131" t="s">
        <v>971</v>
      </c>
    </row>
    <row r="267">
      <c r="B267" s="2" t="s">
        <v>230</v>
      </c>
      <c r="C267" s="2">
        <v>230.0</v>
      </c>
    </row>
    <row r="268">
      <c r="B268" s="2" t="s">
        <v>230</v>
      </c>
      <c r="C268" s="2">
        <v>269.0</v>
      </c>
      <c r="E268" s="2"/>
    </row>
    <row r="269">
      <c r="B269" s="2" t="s">
        <v>230</v>
      </c>
      <c r="C269" s="2">
        <v>271.0</v>
      </c>
      <c r="E269" s="2"/>
    </row>
    <row r="270">
      <c r="B270" s="2" t="s">
        <v>230</v>
      </c>
      <c r="C270" s="2">
        <v>607.0</v>
      </c>
      <c r="E270" s="2"/>
    </row>
    <row r="271">
      <c r="A271" s="2" t="s">
        <v>32</v>
      </c>
      <c r="B271" s="2" t="s">
        <v>258</v>
      </c>
      <c r="C271" s="5">
        <v>962.0</v>
      </c>
      <c r="E271" s="2">
        <v>962.0</v>
      </c>
    </row>
    <row r="272">
      <c r="A272" s="2" t="s">
        <v>32</v>
      </c>
      <c r="B272" s="2" t="s">
        <v>230</v>
      </c>
      <c r="C272" s="2">
        <v>1120.0</v>
      </c>
    </row>
    <row r="273">
      <c r="B273" s="2" t="s">
        <v>230</v>
      </c>
      <c r="C273" s="2">
        <v>1121.0</v>
      </c>
    </row>
    <row r="276">
      <c r="A276" s="5"/>
      <c r="B276" s="5"/>
      <c r="C276" s="5"/>
      <c r="D276" s="5"/>
      <c r="E276" s="5"/>
      <c r="F276" s="5"/>
      <c r="G276" s="5"/>
      <c r="H276" s="5"/>
      <c r="I276" s="5"/>
      <c r="J276" s="5"/>
      <c r="K276" s="5"/>
      <c r="L276" s="5"/>
      <c r="M276" s="5"/>
      <c r="N276" s="5"/>
    </row>
    <row r="277" ht="22.5" customHeight="1">
      <c r="A277" s="89" t="s">
        <v>12</v>
      </c>
      <c r="B277" s="89" t="s">
        <v>950</v>
      </c>
      <c r="C277" s="89" t="s">
        <v>951</v>
      </c>
      <c r="D277" s="89" t="s">
        <v>952</v>
      </c>
      <c r="E277" s="89" t="s">
        <v>24</v>
      </c>
      <c r="F277" s="89" t="s">
        <v>953</v>
      </c>
      <c r="G277" s="89" t="s">
        <v>954</v>
      </c>
      <c r="H277" s="89" t="s">
        <v>955</v>
      </c>
      <c r="I277" s="90" t="s">
        <v>990</v>
      </c>
      <c r="J277" s="89" t="s">
        <v>957</v>
      </c>
      <c r="K277" s="89" t="s">
        <v>958</v>
      </c>
      <c r="L277" s="89" t="s">
        <v>25</v>
      </c>
      <c r="M277" s="89" t="s">
        <v>959</v>
      </c>
      <c r="N277" s="89" t="s">
        <v>26</v>
      </c>
      <c r="O277" s="117" t="s">
        <v>960</v>
      </c>
    </row>
    <row r="278" ht="22.5" customHeight="1">
      <c r="A278" s="20">
        <v>1.0</v>
      </c>
      <c r="B278" s="20" t="s">
        <v>31</v>
      </c>
      <c r="C278" s="20">
        <v>4.0</v>
      </c>
      <c r="D278" s="20">
        <v>6.0</v>
      </c>
      <c r="E278" s="129">
        <f t="shared" ref="E278:E280" si="24">C278+D278</f>
        <v>10</v>
      </c>
      <c r="F278" s="20">
        <v>0.0</v>
      </c>
      <c r="G278" s="20">
        <v>6.0</v>
      </c>
      <c r="H278" s="109">
        <f t="shared" ref="H278:H280" si="25">F278+G278</f>
        <v>6</v>
      </c>
      <c r="I278" s="134">
        <f t="shared" ref="I278:I280" si="26">E278-H278</f>
        <v>4</v>
      </c>
      <c r="J278" s="20">
        <v>12.0</v>
      </c>
      <c r="K278" s="20" t="s">
        <v>1262</v>
      </c>
      <c r="L278" s="20" t="s">
        <v>1263</v>
      </c>
      <c r="M278" s="20"/>
      <c r="N278" s="20"/>
      <c r="O278" s="27"/>
    </row>
    <row r="279" ht="22.5" customHeight="1">
      <c r="A279" s="20">
        <v>2.0</v>
      </c>
      <c r="B279" s="20" t="s">
        <v>45</v>
      </c>
      <c r="C279" s="118">
        <v>0.0</v>
      </c>
      <c r="D279" s="118">
        <v>5.0</v>
      </c>
      <c r="E279" s="129">
        <f t="shared" si="24"/>
        <v>5</v>
      </c>
      <c r="F279" s="118">
        <v>0.0</v>
      </c>
      <c r="G279" s="118">
        <v>5.0</v>
      </c>
      <c r="H279" s="109">
        <f t="shared" si="25"/>
        <v>5</v>
      </c>
      <c r="I279" s="134">
        <f t="shared" si="26"/>
        <v>0</v>
      </c>
      <c r="J279" s="118">
        <v>6.0</v>
      </c>
      <c r="K279" s="118" t="s">
        <v>1265</v>
      </c>
      <c r="L279" s="118" t="s">
        <v>1266</v>
      </c>
      <c r="O279" s="45"/>
      <c r="R279" s="2" t="s">
        <v>1253</v>
      </c>
      <c r="S279" s="247">
        <v>46088.0</v>
      </c>
    </row>
    <row r="280" ht="22.5" customHeight="1">
      <c r="A280" s="20">
        <v>3.0</v>
      </c>
      <c r="B280" s="20" t="s">
        <v>965</v>
      </c>
      <c r="C280" s="20">
        <v>0.0</v>
      </c>
      <c r="D280" s="20">
        <v>0.0</v>
      </c>
      <c r="E280" s="129">
        <f t="shared" si="24"/>
        <v>0</v>
      </c>
      <c r="F280" s="20">
        <v>0.0</v>
      </c>
      <c r="G280" s="20">
        <v>0.0</v>
      </c>
      <c r="H280" s="109">
        <f t="shared" si="25"/>
        <v>0</v>
      </c>
      <c r="I280" s="134">
        <f t="shared" si="26"/>
        <v>0</v>
      </c>
      <c r="J280" s="20">
        <v>1.0</v>
      </c>
      <c r="K280" s="20" t="s">
        <v>1268</v>
      </c>
      <c r="L280" s="20" t="s">
        <v>1269</v>
      </c>
      <c r="M280" s="20"/>
      <c r="N280" s="20"/>
      <c r="O280" s="27"/>
      <c r="R280" s="2" t="s">
        <v>1253</v>
      </c>
      <c r="S280" s="247">
        <v>46302.0</v>
      </c>
    </row>
    <row r="282">
      <c r="A282" s="5" t="s">
        <v>966</v>
      </c>
    </row>
    <row r="283">
      <c r="A283" s="130" t="s">
        <v>967</v>
      </c>
      <c r="B283" s="130" t="s">
        <v>968</v>
      </c>
      <c r="C283" s="131" t="s">
        <v>969</v>
      </c>
      <c r="D283" s="131" t="s">
        <v>970</v>
      </c>
      <c r="E283" s="131" t="s">
        <v>971</v>
      </c>
    </row>
    <row r="284">
      <c r="B284" s="2" t="s">
        <v>230</v>
      </c>
      <c r="C284" s="2">
        <v>40.0</v>
      </c>
    </row>
    <row r="285">
      <c r="B285" s="2" t="s">
        <v>230</v>
      </c>
      <c r="C285" s="2">
        <v>187.0</v>
      </c>
    </row>
    <row r="286">
      <c r="A286" s="2" t="s">
        <v>32</v>
      </c>
      <c r="B286" s="2" t="s">
        <v>258</v>
      </c>
      <c r="C286" s="5">
        <v>197.0</v>
      </c>
      <c r="D286" s="2">
        <v>197.0</v>
      </c>
    </row>
    <row r="287">
      <c r="B287" s="2" t="s">
        <v>230</v>
      </c>
      <c r="C287" s="2">
        <v>568.0</v>
      </c>
    </row>
    <row r="288">
      <c r="A288" s="2" t="s">
        <v>32</v>
      </c>
      <c r="B288" s="2" t="s">
        <v>258</v>
      </c>
      <c r="C288" s="5">
        <v>1097.0</v>
      </c>
      <c r="D288" s="2">
        <v>1097.0</v>
      </c>
    </row>
    <row r="289">
      <c r="B289" s="2" t="s">
        <v>230</v>
      </c>
      <c r="C289" s="2">
        <v>1170.0</v>
      </c>
    </row>
    <row r="290">
      <c r="A290" s="2" t="s">
        <v>32</v>
      </c>
      <c r="B290" s="2" t="s">
        <v>258</v>
      </c>
      <c r="C290" s="5">
        <v>1356.0</v>
      </c>
      <c r="D290" s="2">
        <v>1356.0</v>
      </c>
    </row>
    <row r="291">
      <c r="A291" s="2" t="s">
        <v>32</v>
      </c>
      <c r="B291" s="2" t="s">
        <v>258</v>
      </c>
      <c r="C291" s="2">
        <v>1818.0</v>
      </c>
    </row>
    <row r="292">
      <c r="A292" s="2" t="s">
        <v>32</v>
      </c>
      <c r="B292" s="2" t="s">
        <v>258</v>
      </c>
      <c r="C292" s="5">
        <v>3904.0</v>
      </c>
      <c r="D292" s="2">
        <v>3904.0</v>
      </c>
    </row>
    <row r="293">
      <c r="A293" s="2" t="s">
        <v>32</v>
      </c>
      <c r="B293" s="2" t="s">
        <v>258</v>
      </c>
      <c r="C293" s="5">
        <v>3839.0</v>
      </c>
      <c r="D293" s="2">
        <v>3839.0</v>
      </c>
    </row>
    <row r="296">
      <c r="A296" s="5"/>
      <c r="B296" s="5"/>
      <c r="C296" s="5"/>
      <c r="D296" s="5"/>
      <c r="E296" s="5"/>
      <c r="F296" s="5"/>
      <c r="G296" s="5"/>
      <c r="H296" s="5"/>
      <c r="I296" s="5"/>
      <c r="J296" s="5"/>
      <c r="K296" s="5"/>
      <c r="L296" s="5"/>
      <c r="M296" s="5"/>
      <c r="N296" s="5"/>
    </row>
    <row r="297" ht="22.5" customHeight="1">
      <c r="A297" s="89" t="s">
        <v>12</v>
      </c>
      <c r="B297" s="89" t="s">
        <v>950</v>
      </c>
      <c r="C297" s="89" t="s">
        <v>951</v>
      </c>
      <c r="D297" s="89" t="s">
        <v>952</v>
      </c>
      <c r="E297" s="89" t="s">
        <v>24</v>
      </c>
      <c r="F297" s="89" t="s">
        <v>953</v>
      </c>
      <c r="G297" s="89" t="s">
        <v>954</v>
      </c>
      <c r="H297" s="89" t="s">
        <v>955</v>
      </c>
      <c r="I297" s="90" t="s">
        <v>990</v>
      </c>
      <c r="J297" s="89" t="s">
        <v>957</v>
      </c>
      <c r="K297" s="89" t="s">
        <v>958</v>
      </c>
      <c r="L297" s="89" t="s">
        <v>25</v>
      </c>
      <c r="M297" s="89" t="s">
        <v>959</v>
      </c>
      <c r="N297" s="89" t="s">
        <v>26</v>
      </c>
      <c r="O297" s="117" t="s">
        <v>960</v>
      </c>
    </row>
    <row r="298" ht="22.5" customHeight="1">
      <c r="A298" s="20">
        <v>1.0</v>
      </c>
      <c r="B298" s="20" t="s">
        <v>31</v>
      </c>
      <c r="C298" s="20">
        <v>1.0</v>
      </c>
      <c r="D298" s="20">
        <v>0.0</v>
      </c>
      <c r="E298" s="129">
        <f t="shared" ref="E298:E300" si="27">C298+D298</f>
        <v>1</v>
      </c>
      <c r="F298" s="20">
        <v>0.0</v>
      </c>
      <c r="G298" s="20">
        <v>0.0</v>
      </c>
      <c r="H298" s="109">
        <f t="shared" ref="H298:H300" si="28">F298+G298</f>
        <v>0</v>
      </c>
      <c r="I298" s="134">
        <f t="shared" ref="I298:I300" si="29">E298-H298</f>
        <v>1</v>
      </c>
      <c r="J298" s="20">
        <v>2.0</v>
      </c>
      <c r="K298" s="20" t="s">
        <v>1274</v>
      </c>
      <c r="L298" s="20" t="s">
        <v>1275</v>
      </c>
      <c r="M298" s="20"/>
      <c r="N298" s="20"/>
      <c r="O298" s="27"/>
    </row>
    <row r="299" ht="22.5" customHeight="1">
      <c r="A299" s="20">
        <v>2.0</v>
      </c>
      <c r="B299" s="20" t="s">
        <v>45</v>
      </c>
      <c r="C299" s="118">
        <v>0.0</v>
      </c>
      <c r="D299" s="118">
        <v>0.0</v>
      </c>
      <c r="E299" s="129">
        <f t="shared" si="27"/>
        <v>0</v>
      </c>
      <c r="F299" s="118">
        <v>0.0</v>
      </c>
      <c r="G299" s="118">
        <v>0.0</v>
      </c>
      <c r="H299" s="109">
        <f t="shared" si="28"/>
        <v>0</v>
      </c>
      <c r="I299" s="134">
        <f t="shared" si="29"/>
        <v>0</v>
      </c>
      <c r="J299" s="118">
        <v>0.0</v>
      </c>
      <c r="K299" s="118">
        <v>0.0</v>
      </c>
      <c r="L299" s="118">
        <v>0.0</v>
      </c>
      <c r="M299" s="118">
        <v>0.0</v>
      </c>
      <c r="N299" s="118">
        <v>0.0</v>
      </c>
      <c r="O299" s="45">
        <v>0.0</v>
      </c>
    </row>
    <row r="300" ht="22.5" customHeight="1">
      <c r="A300" s="20">
        <v>3.0</v>
      </c>
      <c r="B300" s="20" t="s">
        <v>965</v>
      </c>
      <c r="C300" s="20">
        <v>0.0</v>
      </c>
      <c r="D300" s="20">
        <v>0.0</v>
      </c>
      <c r="E300" s="129">
        <f t="shared" si="27"/>
        <v>0</v>
      </c>
      <c r="F300" s="20">
        <v>0.0</v>
      </c>
      <c r="G300" s="20">
        <v>0.0</v>
      </c>
      <c r="H300" s="109">
        <f t="shared" si="28"/>
        <v>0</v>
      </c>
      <c r="I300" s="134">
        <f t="shared" si="29"/>
        <v>0</v>
      </c>
      <c r="J300" s="20">
        <v>0.0</v>
      </c>
      <c r="K300" s="20">
        <v>0.0</v>
      </c>
      <c r="L300" s="20">
        <v>0.0</v>
      </c>
      <c r="M300" s="20">
        <v>0.0</v>
      </c>
      <c r="N300" s="20">
        <v>0.0</v>
      </c>
      <c r="O300" s="27">
        <v>0.0</v>
      </c>
    </row>
    <row r="302">
      <c r="A302" s="5" t="s">
        <v>966</v>
      </c>
    </row>
    <row r="303">
      <c r="A303" s="130" t="s">
        <v>967</v>
      </c>
      <c r="B303" s="130" t="s">
        <v>968</v>
      </c>
      <c r="C303" s="131" t="s">
        <v>969</v>
      </c>
      <c r="D303" s="131" t="s">
        <v>970</v>
      </c>
      <c r="E303" s="131" t="s">
        <v>971</v>
      </c>
    </row>
    <row r="304">
      <c r="B304" s="2" t="s">
        <v>230</v>
      </c>
      <c r="C304" s="2">
        <v>184.0</v>
      </c>
    </row>
    <row r="308">
      <c r="A308" s="5" t="s">
        <v>912</v>
      </c>
    </row>
    <row r="310">
      <c r="A310" s="79" t="s">
        <v>967</v>
      </c>
      <c r="B310" s="79" t="s">
        <v>968</v>
      </c>
      <c r="C310" s="250" t="s">
        <v>969</v>
      </c>
      <c r="D310" s="250" t="s">
        <v>970</v>
      </c>
      <c r="E310" s="250" t="s">
        <v>971</v>
      </c>
    </row>
    <row r="311">
      <c r="A311" s="246"/>
      <c r="B311" s="246" t="s">
        <v>230</v>
      </c>
      <c r="C311" s="72">
        <v>30.0</v>
      </c>
      <c r="D311" s="246"/>
      <c r="E311" s="246"/>
    </row>
    <row r="312">
      <c r="A312" s="246"/>
      <c r="B312" s="246" t="s">
        <v>230</v>
      </c>
      <c r="C312" s="72">
        <v>34.0</v>
      </c>
      <c r="D312" s="246"/>
      <c r="E312" s="246"/>
    </row>
    <row r="313">
      <c r="A313" s="246"/>
      <c r="B313" s="246" t="s">
        <v>230</v>
      </c>
      <c r="C313" s="72">
        <v>40.0</v>
      </c>
      <c r="D313" s="246"/>
      <c r="E313" s="246"/>
    </row>
    <row r="314">
      <c r="A314" s="246"/>
      <c r="B314" s="246" t="s">
        <v>230</v>
      </c>
      <c r="C314" s="72">
        <v>59.0</v>
      </c>
      <c r="D314" s="246"/>
      <c r="E314" s="246"/>
    </row>
    <row r="315">
      <c r="A315" s="246"/>
      <c r="B315" s="69" t="s">
        <v>230</v>
      </c>
      <c r="C315" s="251">
        <v>73.0</v>
      </c>
      <c r="D315" s="252"/>
      <c r="E315" s="252"/>
    </row>
    <row r="316">
      <c r="A316" s="246"/>
      <c r="B316" s="69" t="s">
        <v>258</v>
      </c>
      <c r="C316" s="251">
        <v>76.0</v>
      </c>
      <c r="D316" s="252"/>
      <c r="E316" s="252"/>
    </row>
    <row r="317">
      <c r="A317" s="246"/>
      <c r="B317" s="246" t="s">
        <v>258</v>
      </c>
      <c r="C317" s="72">
        <v>84.0</v>
      </c>
      <c r="D317" s="246"/>
      <c r="E317" s="246"/>
    </row>
    <row r="318">
      <c r="A318" s="246"/>
      <c r="B318" s="69" t="s">
        <v>258</v>
      </c>
      <c r="C318" s="251">
        <v>93.0</v>
      </c>
      <c r="D318" s="252"/>
      <c r="E318" s="252"/>
    </row>
    <row r="319">
      <c r="A319" s="246"/>
      <c r="B319" s="246" t="s">
        <v>258</v>
      </c>
      <c r="C319" s="72">
        <v>106.0</v>
      </c>
      <c r="D319" s="246"/>
      <c r="E319" s="246"/>
    </row>
    <row r="320">
      <c r="A320" s="246"/>
      <c r="B320" s="246" t="s">
        <v>230</v>
      </c>
      <c r="C320" s="72">
        <v>123.0</v>
      </c>
      <c r="D320" s="246"/>
      <c r="E320" s="246"/>
    </row>
    <row r="321">
      <c r="A321" s="69" t="s">
        <v>32</v>
      </c>
      <c r="B321" s="69" t="s">
        <v>230</v>
      </c>
      <c r="C321" s="251">
        <v>173.0</v>
      </c>
      <c r="D321" s="251">
        <v>173.0</v>
      </c>
      <c r="E321" s="253">
        <v>173.0</v>
      </c>
    </row>
    <row r="322">
      <c r="A322" s="246"/>
      <c r="B322" s="246" t="s">
        <v>230</v>
      </c>
      <c r="C322" s="72">
        <v>184.0</v>
      </c>
      <c r="D322" s="246"/>
      <c r="E322" s="246"/>
    </row>
    <row r="323">
      <c r="A323" s="246"/>
      <c r="B323" s="246" t="s">
        <v>230</v>
      </c>
      <c r="C323" s="72">
        <v>187.0</v>
      </c>
      <c r="D323" s="246"/>
      <c r="E323" s="246"/>
    </row>
    <row r="324">
      <c r="A324" s="246" t="s">
        <v>32</v>
      </c>
      <c r="B324" s="246" t="s">
        <v>258</v>
      </c>
      <c r="C324" s="72">
        <v>197.0</v>
      </c>
      <c r="D324" s="254">
        <v>197.0</v>
      </c>
      <c r="E324" s="72">
        <v>197.0</v>
      </c>
    </row>
    <row r="325">
      <c r="A325" s="246"/>
      <c r="B325" s="246" t="s">
        <v>258</v>
      </c>
      <c r="C325" s="72">
        <v>212.0</v>
      </c>
      <c r="D325" s="246"/>
      <c r="E325" s="246"/>
    </row>
    <row r="326">
      <c r="A326" s="246"/>
      <c r="B326" s="69" t="s">
        <v>230</v>
      </c>
      <c r="C326" s="251">
        <v>217.0</v>
      </c>
      <c r="D326" s="252"/>
      <c r="E326" s="252"/>
    </row>
    <row r="327">
      <c r="A327" s="246"/>
      <c r="B327" s="246" t="s">
        <v>230</v>
      </c>
      <c r="C327" s="72">
        <v>230.0</v>
      </c>
      <c r="D327" s="246"/>
      <c r="E327" s="246"/>
    </row>
    <row r="328">
      <c r="A328" s="246"/>
      <c r="B328" s="246" t="s">
        <v>230</v>
      </c>
      <c r="C328" s="72">
        <v>262.0</v>
      </c>
      <c r="D328" s="246"/>
      <c r="E328" s="246"/>
    </row>
    <row r="329">
      <c r="A329" s="246"/>
      <c r="B329" s="246" t="s">
        <v>230</v>
      </c>
      <c r="C329" s="72">
        <v>269.0</v>
      </c>
      <c r="D329" s="246"/>
      <c r="E329" s="246"/>
    </row>
    <row r="330">
      <c r="A330" s="246"/>
      <c r="B330" s="246" t="s">
        <v>230</v>
      </c>
      <c r="C330" s="72">
        <v>271.0</v>
      </c>
      <c r="D330" s="246"/>
      <c r="E330" s="246"/>
    </row>
    <row r="331">
      <c r="A331" s="246"/>
      <c r="B331" s="246" t="s">
        <v>230</v>
      </c>
      <c r="C331" s="72">
        <v>274.0</v>
      </c>
      <c r="D331" s="246"/>
      <c r="E331" s="246"/>
    </row>
    <row r="332">
      <c r="A332" s="246"/>
      <c r="B332" s="69" t="s">
        <v>258</v>
      </c>
      <c r="C332" s="251">
        <v>279.0</v>
      </c>
      <c r="D332" s="252"/>
      <c r="E332" s="252"/>
    </row>
    <row r="333">
      <c r="A333" s="246"/>
      <c r="B333" s="246" t="s">
        <v>230</v>
      </c>
      <c r="C333" s="72">
        <v>310.0</v>
      </c>
      <c r="D333" s="246"/>
      <c r="E333" s="246"/>
    </row>
    <row r="334">
      <c r="A334" s="246" t="s">
        <v>32</v>
      </c>
      <c r="B334" s="246" t="s">
        <v>230</v>
      </c>
      <c r="C334" s="72">
        <v>409.0</v>
      </c>
      <c r="D334" s="246"/>
      <c r="E334" s="246"/>
    </row>
    <row r="335">
      <c r="A335" s="246"/>
      <c r="B335" s="69" t="s">
        <v>258</v>
      </c>
      <c r="C335" s="251">
        <v>420.0</v>
      </c>
      <c r="D335" s="252"/>
      <c r="E335" s="252"/>
    </row>
    <row r="336">
      <c r="A336" s="69" t="s">
        <v>32</v>
      </c>
      <c r="B336" s="69" t="s">
        <v>258</v>
      </c>
      <c r="C336" s="251">
        <v>443.0</v>
      </c>
      <c r="D336" s="251">
        <v>443.0</v>
      </c>
      <c r="E336" s="252"/>
    </row>
    <row r="337">
      <c r="A337" s="246"/>
      <c r="B337" s="246" t="s">
        <v>230</v>
      </c>
      <c r="C337" s="72">
        <v>463.0</v>
      </c>
      <c r="D337" s="246"/>
      <c r="E337" s="246"/>
    </row>
    <row r="338">
      <c r="A338" s="246"/>
      <c r="B338" s="246" t="s">
        <v>230</v>
      </c>
      <c r="C338" s="72">
        <v>568.0</v>
      </c>
      <c r="D338" s="246"/>
      <c r="E338" s="246"/>
    </row>
    <row r="339">
      <c r="A339" s="246"/>
      <c r="B339" s="246" t="s">
        <v>230</v>
      </c>
      <c r="C339" s="72">
        <v>607.0</v>
      </c>
      <c r="D339" s="246"/>
      <c r="E339" s="246"/>
    </row>
    <row r="340">
      <c r="A340" s="246"/>
      <c r="B340" s="69" t="s">
        <v>230</v>
      </c>
      <c r="C340" s="251">
        <v>703.0</v>
      </c>
      <c r="D340" s="252"/>
      <c r="E340" s="252"/>
    </row>
    <row r="341">
      <c r="A341" s="246"/>
      <c r="B341" s="246" t="s">
        <v>230</v>
      </c>
      <c r="C341" s="72">
        <v>727.0</v>
      </c>
      <c r="D341" s="246"/>
      <c r="E341" s="246"/>
    </row>
    <row r="342">
      <c r="A342" s="246" t="s">
        <v>32</v>
      </c>
      <c r="B342" s="246" t="s">
        <v>258</v>
      </c>
      <c r="C342" s="72">
        <v>962.0</v>
      </c>
      <c r="D342" s="254">
        <v>962.0</v>
      </c>
      <c r="E342" s="72">
        <v>962.0</v>
      </c>
    </row>
    <row r="343">
      <c r="A343" s="246"/>
      <c r="B343" s="246" t="s">
        <v>230</v>
      </c>
      <c r="C343" s="72">
        <v>977.0</v>
      </c>
      <c r="D343" s="246"/>
      <c r="E343" s="246"/>
    </row>
    <row r="344">
      <c r="A344" s="69" t="s">
        <v>32</v>
      </c>
      <c r="B344" s="69" t="s">
        <v>258</v>
      </c>
      <c r="C344" s="251">
        <v>994.0</v>
      </c>
      <c r="D344" s="252"/>
      <c r="E344" s="251">
        <v>994.0</v>
      </c>
    </row>
    <row r="345">
      <c r="A345" s="246" t="s">
        <v>32</v>
      </c>
      <c r="B345" s="246" t="s">
        <v>258</v>
      </c>
      <c r="C345" s="72">
        <v>1097.0</v>
      </c>
      <c r="D345" s="72">
        <v>1097.0</v>
      </c>
      <c r="E345" s="246"/>
    </row>
    <row r="346">
      <c r="A346" s="246" t="s">
        <v>32</v>
      </c>
      <c r="B346" s="246" t="s">
        <v>230</v>
      </c>
      <c r="C346" s="72">
        <v>1120.0</v>
      </c>
      <c r="D346" s="246"/>
      <c r="E346" s="246"/>
    </row>
    <row r="347">
      <c r="A347" s="246"/>
      <c r="B347" s="246" t="s">
        <v>230</v>
      </c>
      <c r="C347" s="72">
        <v>1121.0</v>
      </c>
      <c r="D347" s="246"/>
      <c r="E347" s="246"/>
    </row>
    <row r="348">
      <c r="A348" s="69" t="s">
        <v>32</v>
      </c>
      <c r="B348" s="69" t="s">
        <v>258</v>
      </c>
      <c r="C348" s="251">
        <v>1141.0</v>
      </c>
      <c r="D348" s="251">
        <v>1141.0</v>
      </c>
      <c r="E348" s="252"/>
    </row>
    <row r="349">
      <c r="A349" s="246"/>
      <c r="B349" s="246" t="s">
        <v>230</v>
      </c>
      <c r="C349" s="72">
        <v>1170.0</v>
      </c>
      <c r="D349" s="246"/>
      <c r="E349" s="246"/>
    </row>
    <row r="350">
      <c r="A350" s="69" t="s">
        <v>32</v>
      </c>
      <c r="B350" s="69" t="s">
        <v>230</v>
      </c>
      <c r="C350" s="251">
        <v>1198.0</v>
      </c>
      <c r="D350" s="251">
        <v>1198.0</v>
      </c>
      <c r="E350" s="253">
        <v>1198.0</v>
      </c>
    </row>
    <row r="351">
      <c r="A351" s="69" t="s">
        <v>32</v>
      </c>
      <c r="B351" s="69" t="s">
        <v>230</v>
      </c>
      <c r="C351" s="251">
        <v>1239.0</v>
      </c>
      <c r="D351" s="251">
        <v>1239.0</v>
      </c>
      <c r="E351" s="252"/>
    </row>
    <row r="352">
      <c r="A352" s="69" t="s">
        <v>32</v>
      </c>
      <c r="B352" s="69" t="s">
        <v>258</v>
      </c>
      <c r="C352" s="251">
        <v>1279.0</v>
      </c>
      <c r="D352" s="251">
        <v>1279.0</v>
      </c>
      <c r="E352" s="251">
        <v>1279.0</v>
      </c>
    </row>
    <row r="353">
      <c r="A353" s="69" t="s">
        <v>32</v>
      </c>
      <c r="B353" s="69" t="s">
        <v>258</v>
      </c>
      <c r="C353" s="251">
        <v>1290.0</v>
      </c>
      <c r="D353" s="251">
        <v>1290.0</v>
      </c>
      <c r="E353" s="253">
        <v>1290.0</v>
      </c>
    </row>
    <row r="354">
      <c r="A354" s="246"/>
      <c r="B354" s="246" t="s">
        <v>258</v>
      </c>
      <c r="C354" s="72">
        <v>1298.0</v>
      </c>
      <c r="D354" s="246"/>
      <c r="E354" s="246"/>
    </row>
    <row r="355">
      <c r="A355" s="246"/>
      <c r="B355" s="246" t="s">
        <v>258</v>
      </c>
      <c r="C355" s="72">
        <v>1341.0</v>
      </c>
      <c r="D355" s="246"/>
      <c r="E355" s="246"/>
    </row>
    <row r="356">
      <c r="A356" s="246" t="s">
        <v>32</v>
      </c>
      <c r="B356" s="246" t="s">
        <v>258</v>
      </c>
      <c r="C356" s="72">
        <v>1356.0</v>
      </c>
      <c r="D356" s="72">
        <v>1356.0</v>
      </c>
      <c r="E356" s="246"/>
    </row>
    <row r="357">
      <c r="A357" s="246" t="s">
        <v>32</v>
      </c>
      <c r="B357" s="246" t="s">
        <v>258</v>
      </c>
      <c r="C357" s="72">
        <v>1390.0</v>
      </c>
      <c r="D357" s="246"/>
      <c r="E357" s="246"/>
    </row>
    <row r="358">
      <c r="A358" s="246"/>
      <c r="B358" s="69" t="s">
        <v>230</v>
      </c>
      <c r="C358" s="251">
        <v>1590.0</v>
      </c>
      <c r="D358" s="252"/>
      <c r="E358" s="252"/>
    </row>
    <row r="359">
      <c r="A359" s="246"/>
      <c r="B359" s="246" t="s">
        <v>258</v>
      </c>
      <c r="C359" s="72">
        <v>1724.0</v>
      </c>
      <c r="D359" s="246"/>
      <c r="E359" s="246"/>
    </row>
    <row r="360">
      <c r="A360" s="246" t="s">
        <v>32</v>
      </c>
      <c r="B360" s="246" t="s">
        <v>258</v>
      </c>
      <c r="C360" s="72">
        <v>1818.0</v>
      </c>
      <c r="D360" s="72">
        <v>1818.0</v>
      </c>
      <c r="E360" s="246"/>
    </row>
    <row r="361">
      <c r="A361" s="246"/>
      <c r="B361" s="69" t="s">
        <v>230</v>
      </c>
      <c r="C361" s="251">
        <v>1852.0</v>
      </c>
      <c r="D361" s="252"/>
      <c r="E361" s="252"/>
    </row>
    <row r="362">
      <c r="A362" s="246"/>
      <c r="B362" s="246" t="s">
        <v>230</v>
      </c>
      <c r="C362" s="72">
        <v>1982.0</v>
      </c>
      <c r="D362" s="246"/>
      <c r="E362" s="246"/>
    </row>
    <row r="363">
      <c r="A363" s="246" t="s">
        <v>32</v>
      </c>
      <c r="B363" s="246" t="s">
        <v>258</v>
      </c>
      <c r="C363" s="72">
        <v>2231.0</v>
      </c>
      <c r="D363" s="72">
        <v>2231.0</v>
      </c>
      <c r="E363" s="246"/>
    </row>
    <row r="364">
      <c r="A364" s="246" t="s">
        <v>32</v>
      </c>
      <c r="B364" s="246" t="s">
        <v>258</v>
      </c>
      <c r="C364" s="72">
        <v>2336.0</v>
      </c>
      <c r="D364" s="246"/>
      <c r="E364" s="246"/>
    </row>
    <row r="365">
      <c r="A365" s="246" t="s">
        <v>32</v>
      </c>
      <c r="B365" s="246" t="s">
        <v>258</v>
      </c>
      <c r="C365" s="72">
        <v>2552.0</v>
      </c>
      <c r="D365" s="72">
        <v>2552.0</v>
      </c>
      <c r="E365" s="246"/>
    </row>
    <row r="366">
      <c r="A366" s="246" t="s">
        <v>32</v>
      </c>
      <c r="B366" s="246" t="s">
        <v>258</v>
      </c>
      <c r="C366" s="72">
        <v>2562.0</v>
      </c>
      <c r="D366" s="254">
        <v>2562.0</v>
      </c>
      <c r="E366" s="246"/>
    </row>
    <row r="367">
      <c r="A367" s="246" t="s">
        <v>32</v>
      </c>
      <c r="B367" s="246" t="s">
        <v>258</v>
      </c>
      <c r="C367" s="255">
        <v>2570.0</v>
      </c>
      <c r="D367" s="72">
        <v>2570.0</v>
      </c>
      <c r="E367" s="246"/>
    </row>
    <row r="368">
      <c r="A368" s="246"/>
      <c r="B368" s="246" t="s">
        <v>230</v>
      </c>
      <c r="C368" s="72">
        <v>2587.0</v>
      </c>
      <c r="D368" s="246"/>
      <c r="E368" s="246"/>
    </row>
    <row r="369">
      <c r="A369" s="246" t="s">
        <v>32</v>
      </c>
      <c r="B369" s="246" t="s">
        <v>258</v>
      </c>
      <c r="C369" s="255">
        <v>2588.0</v>
      </c>
      <c r="D369" s="72">
        <v>2588.0</v>
      </c>
      <c r="E369" s="246"/>
    </row>
    <row r="370">
      <c r="A370" s="246" t="s">
        <v>32</v>
      </c>
      <c r="B370" s="246" t="s">
        <v>258</v>
      </c>
      <c r="C370" s="72">
        <v>2893.0</v>
      </c>
      <c r="D370" s="246"/>
      <c r="E370" s="246"/>
    </row>
    <row r="371">
      <c r="A371" s="246" t="s">
        <v>32</v>
      </c>
      <c r="B371" s="246" t="s">
        <v>258</v>
      </c>
      <c r="C371" s="72">
        <v>3057.0</v>
      </c>
      <c r="D371" s="72">
        <v>3057.0</v>
      </c>
      <c r="E371" s="246"/>
    </row>
    <row r="372">
      <c r="A372" s="246" t="s">
        <v>32</v>
      </c>
      <c r="B372" s="246" t="s">
        <v>258</v>
      </c>
      <c r="C372" s="5">
        <v>3072.0</v>
      </c>
      <c r="D372" s="72">
        <v>3072.0</v>
      </c>
      <c r="E372" s="246"/>
    </row>
    <row r="373">
      <c r="A373" s="246" t="s">
        <v>32</v>
      </c>
      <c r="B373" s="246" t="s">
        <v>230</v>
      </c>
      <c r="C373" s="72">
        <v>3144.0</v>
      </c>
      <c r="D373" s="246"/>
      <c r="E373" s="246"/>
    </row>
    <row r="374">
      <c r="A374" s="246" t="s">
        <v>32</v>
      </c>
      <c r="B374" s="246" t="s">
        <v>258</v>
      </c>
      <c r="C374" s="72">
        <v>3187.0</v>
      </c>
      <c r="D374" s="254">
        <v>3187.0</v>
      </c>
      <c r="E374" s="246"/>
    </row>
    <row r="375">
      <c r="A375" s="246" t="s">
        <v>32</v>
      </c>
      <c r="B375" s="246" t="s">
        <v>258</v>
      </c>
      <c r="C375" s="72">
        <v>3390.0</v>
      </c>
      <c r="D375" s="254">
        <v>3390.0</v>
      </c>
      <c r="E375" s="246"/>
    </row>
    <row r="376">
      <c r="A376" s="246" t="s">
        <v>32</v>
      </c>
      <c r="B376" s="246" t="s">
        <v>258</v>
      </c>
      <c r="C376" s="72">
        <v>3839.0</v>
      </c>
      <c r="D376" s="72">
        <v>3839.0</v>
      </c>
      <c r="E376" s="246"/>
    </row>
    <row r="377">
      <c r="A377" s="246" t="s">
        <v>32</v>
      </c>
      <c r="B377" s="246" t="s">
        <v>258</v>
      </c>
      <c r="C377" s="72">
        <v>3904.0</v>
      </c>
      <c r="D377" s="2">
        <v>3904.0</v>
      </c>
      <c r="E377" s="246"/>
    </row>
    <row r="378">
      <c r="A378" s="69" t="s">
        <v>32</v>
      </c>
      <c r="B378" s="69" t="s">
        <v>258</v>
      </c>
      <c r="C378" s="251">
        <v>3994.0</v>
      </c>
      <c r="D378" s="251">
        <v>3994.0</v>
      </c>
      <c r="E378" s="252"/>
    </row>
    <row r="379">
      <c r="A379" s="246"/>
      <c r="B379" s="246" t="s">
        <v>230</v>
      </c>
      <c r="C379" s="72">
        <v>4022.0</v>
      </c>
      <c r="D379" s="246"/>
      <c r="E379" s="246"/>
    </row>
    <row r="380">
      <c r="A380" s="246"/>
      <c r="B380" s="69" t="s">
        <v>230</v>
      </c>
      <c r="C380" s="251">
        <v>4554.0</v>
      </c>
      <c r="D380" s="252"/>
      <c r="E380" s="252"/>
    </row>
    <row r="381">
      <c r="A381" s="246" t="s">
        <v>32</v>
      </c>
      <c r="B381" s="246" t="s">
        <v>258</v>
      </c>
      <c r="C381" s="255">
        <v>5707.0</v>
      </c>
      <c r="D381" s="72">
        <v>5707.0</v>
      </c>
      <c r="E381" s="246"/>
    </row>
    <row r="382">
      <c r="A382" s="246" t="s">
        <v>32</v>
      </c>
      <c r="B382" s="246" t="s">
        <v>258</v>
      </c>
      <c r="C382" s="5">
        <v>5798.0</v>
      </c>
      <c r="D382" s="251">
        <v>5798.0</v>
      </c>
      <c r="E382" s="252"/>
    </row>
    <row r="383">
      <c r="A383" s="246" t="s">
        <v>32</v>
      </c>
      <c r="B383" s="246" t="s">
        <v>258</v>
      </c>
      <c r="C383" s="256">
        <v>5801.0</v>
      </c>
      <c r="D383" s="72">
        <v>5801.0</v>
      </c>
      <c r="E383" s="246"/>
    </row>
    <row r="384">
      <c r="A384" s="246" t="s">
        <v>32</v>
      </c>
      <c r="B384" s="246" t="s">
        <v>258</v>
      </c>
      <c r="C384" s="255">
        <v>6161.0</v>
      </c>
      <c r="D384" s="72">
        <v>6161.0</v>
      </c>
      <c r="E384" s="254">
        <v>6161.0</v>
      </c>
    </row>
    <row r="385">
      <c r="A385" s="246" t="s">
        <v>32</v>
      </c>
      <c r="B385" s="246" t="s">
        <v>258</v>
      </c>
      <c r="C385" s="255">
        <v>6586.0</v>
      </c>
      <c r="D385" s="72">
        <v>6586.0</v>
      </c>
      <c r="E385" s="246"/>
    </row>
    <row r="386">
      <c r="A386" s="246" t="s">
        <v>32</v>
      </c>
      <c r="B386" s="246" t="s">
        <v>258</v>
      </c>
      <c r="C386" s="246"/>
      <c r="D386" s="72">
        <v>152.0</v>
      </c>
      <c r="E386" s="251">
        <v>152.0</v>
      </c>
    </row>
    <row r="387">
      <c r="A387" s="246" t="s">
        <v>32</v>
      </c>
      <c r="B387" s="246" t="s">
        <v>258</v>
      </c>
      <c r="C387" s="252"/>
      <c r="D387" s="251">
        <v>4073.0</v>
      </c>
      <c r="E387" s="252"/>
    </row>
    <row r="388">
      <c r="A388" s="246" t="s">
        <v>32</v>
      </c>
      <c r="B388" s="246" t="s">
        <v>258</v>
      </c>
      <c r="C388" s="252"/>
      <c r="D388" s="251">
        <v>6509.0</v>
      </c>
      <c r="E388" s="252"/>
    </row>
    <row r="389">
      <c r="A389" s="246" t="s">
        <v>32</v>
      </c>
      <c r="B389" s="246" t="s">
        <v>230</v>
      </c>
      <c r="C389" s="252"/>
      <c r="D389" s="252"/>
      <c r="E389" s="251">
        <v>2616.0</v>
      </c>
    </row>
    <row r="390">
      <c r="A390" s="246" t="s">
        <v>32</v>
      </c>
      <c r="B390" s="246" t="s">
        <v>258</v>
      </c>
      <c r="C390" s="246"/>
      <c r="D390" s="72">
        <v>2063.0</v>
      </c>
      <c r="E390" s="246"/>
    </row>
    <row r="391">
      <c r="A391" s="246" t="s">
        <v>32</v>
      </c>
      <c r="B391" s="246" t="s">
        <v>258</v>
      </c>
      <c r="C391" s="246"/>
      <c r="D391" s="72">
        <v>2192.0</v>
      </c>
      <c r="E391" s="246"/>
    </row>
    <row r="392">
      <c r="A392" s="246" t="s">
        <v>32</v>
      </c>
      <c r="B392" s="246" t="s">
        <v>258</v>
      </c>
      <c r="C392" s="246"/>
      <c r="D392" s="72">
        <v>3862.0</v>
      </c>
      <c r="E392" s="246"/>
    </row>
    <row r="393">
      <c r="A393" s="246" t="s">
        <v>32</v>
      </c>
      <c r="B393" s="246" t="s">
        <v>258</v>
      </c>
      <c r="C393" s="246"/>
      <c r="D393" s="72">
        <v>3465.0</v>
      </c>
      <c r="E393" s="246"/>
    </row>
    <row r="395">
      <c r="A395" s="2" t="s">
        <v>1281</v>
      </c>
      <c r="B395" s="2" t="s">
        <v>31</v>
      </c>
      <c r="C395" s="2">
        <v>45.0</v>
      </c>
    </row>
    <row r="396">
      <c r="A396" s="2" t="s">
        <v>1282</v>
      </c>
      <c r="B396" s="2" t="s">
        <v>45</v>
      </c>
      <c r="C396" s="2">
        <v>6.0</v>
      </c>
    </row>
    <row r="397">
      <c r="A397" s="2" t="s">
        <v>1283</v>
      </c>
      <c r="B397" s="2" t="s">
        <v>50</v>
      </c>
      <c r="C397" s="2">
        <v>1.0</v>
      </c>
    </row>
    <row r="398">
      <c r="A398" s="2" t="s">
        <v>1284</v>
      </c>
      <c r="B398" s="2" t="s">
        <v>1285</v>
      </c>
      <c r="C398" s="2">
        <v>22.0</v>
      </c>
    </row>
    <row r="399">
      <c r="A399" s="2" t="s">
        <v>1286</v>
      </c>
      <c r="B399" s="2" t="s">
        <v>1287</v>
      </c>
      <c r="C399" s="2">
        <v>1.0</v>
      </c>
    </row>
    <row r="400">
      <c r="A400" s="2" t="s">
        <v>1288</v>
      </c>
      <c r="B400" s="2" t="s">
        <v>1289</v>
      </c>
      <c r="C400" s="2">
        <v>1.0</v>
      </c>
    </row>
    <row r="401">
      <c r="A401" s="2" t="s">
        <v>1290</v>
      </c>
      <c r="B401" s="2" t="s">
        <v>1291</v>
      </c>
      <c r="C401" s="2">
        <v>7.0</v>
      </c>
    </row>
    <row r="404">
      <c r="A404" s="2" t="s">
        <v>1292</v>
      </c>
    </row>
    <row r="405">
      <c r="B405" s="2">
        <v>202605.0</v>
      </c>
      <c r="C405" s="2">
        <v>29.0</v>
      </c>
    </row>
    <row r="406">
      <c r="B406" s="2">
        <v>202606.0</v>
      </c>
      <c r="C406" s="2">
        <v>33.0</v>
      </c>
    </row>
    <row r="407">
      <c r="B407" s="2">
        <v>202607.0</v>
      </c>
      <c r="C407" s="2">
        <v>29.0</v>
      </c>
    </row>
    <row r="408">
      <c r="B408" s="2">
        <v>202608.0</v>
      </c>
      <c r="C408" s="2">
        <v>109.0</v>
      </c>
    </row>
  </sheetData>
  <autoFilter ref="$A$310:$E$393">
    <sortState ref="A310:E393">
      <sortCondition ref="C310:C393"/>
    </sortState>
  </autoFilter>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938</v>
      </c>
    </row>
    <row r="2">
      <c r="A2" s="2" t="s">
        <v>939</v>
      </c>
    </row>
    <row r="3">
      <c r="A3" s="2" t="s">
        <v>940</v>
      </c>
    </row>
    <row r="5">
      <c r="A5" s="2" t="s">
        <v>941</v>
      </c>
    </row>
    <row r="6">
      <c r="A6" s="2" t="s">
        <v>942</v>
      </c>
    </row>
    <row r="7">
      <c r="A7" s="2" t="s">
        <v>943</v>
      </c>
    </row>
    <row r="8">
      <c r="A8" s="2" t="s">
        <v>377</v>
      </c>
    </row>
    <row r="9">
      <c r="A9" s="2" t="s">
        <v>944</v>
      </c>
    </row>
    <row r="10">
      <c r="A10" s="2" t="s">
        <v>945</v>
      </c>
    </row>
    <row r="15">
      <c r="A15" s="2" t="s">
        <v>946</v>
      </c>
    </row>
    <row r="16">
      <c r="A16" s="2" t="s">
        <v>947</v>
      </c>
    </row>
    <row r="19">
      <c r="A19" s="2" t="s">
        <v>948</v>
      </c>
    </row>
    <row r="20" hidden="1">
      <c r="A20" s="128" t="s">
        <v>949</v>
      </c>
    </row>
    <row r="21" hidden="1"/>
    <row r="22" hidden="1">
      <c r="A22" s="5"/>
      <c r="B22" s="5"/>
      <c r="C22" s="5"/>
      <c r="D22" s="5"/>
      <c r="E22" s="5"/>
      <c r="F22" s="5"/>
      <c r="G22" s="5"/>
      <c r="H22" s="5"/>
      <c r="I22" s="5"/>
      <c r="J22" s="5"/>
      <c r="K22" s="5"/>
      <c r="L22" s="5"/>
      <c r="M22" s="5"/>
      <c r="N22" s="5"/>
    </row>
    <row r="23" ht="22.5" hidden="1" customHeight="1">
      <c r="A23" s="89" t="s">
        <v>12</v>
      </c>
      <c r="B23" s="89" t="s">
        <v>950</v>
      </c>
      <c r="C23" s="89" t="s">
        <v>951</v>
      </c>
      <c r="D23" s="89" t="s">
        <v>952</v>
      </c>
      <c r="E23" s="89" t="s">
        <v>24</v>
      </c>
      <c r="F23" s="89" t="s">
        <v>953</v>
      </c>
      <c r="G23" s="89" t="s">
        <v>954</v>
      </c>
      <c r="H23" s="89" t="s">
        <v>955</v>
      </c>
      <c r="I23" s="90" t="s">
        <v>956</v>
      </c>
      <c r="J23" s="89" t="s">
        <v>957</v>
      </c>
      <c r="K23" s="89" t="s">
        <v>958</v>
      </c>
      <c r="L23" s="89" t="s">
        <v>25</v>
      </c>
      <c r="M23" s="89" t="s">
        <v>959</v>
      </c>
      <c r="N23" s="89" t="s">
        <v>26</v>
      </c>
      <c r="O23" s="117" t="s">
        <v>960</v>
      </c>
    </row>
    <row r="24" ht="22.5" hidden="1" customHeight="1">
      <c r="A24" s="20">
        <v>1.0</v>
      </c>
      <c r="B24" s="20" t="s">
        <v>31</v>
      </c>
      <c r="C24" s="20"/>
      <c r="D24" s="20"/>
      <c r="E24" s="129"/>
      <c r="F24" s="20"/>
      <c r="G24" s="20"/>
      <c r="H24" s="21"/>
      <c r="I24" s="20"/>
      <c r="J24" s="20"/>
      <c r="K24" s="20"/>
      <c r="L24" s="20"/>
      <c r="M24" s="20"/>
      <c r="N24" s="20"/>
      <c r="O24" s="27"/>
    </row>
    <row r="25" ht="22.5" hidden="1" customHeight="1">
      <c r="A25" s="20">
        <v>2.0</v>
      </c>
      <c r="B25" s="20" t="s">
        <v>45</v>
      </c>
      <c r="C25" s="20">
        <v>3.0</v>
      </c>
      <c r="D25" s="20">
        <v>7.0</v>
      </c>
      <c r="E25" s="129">
        <f>C25+D25</f>
        <v>10</v>
      </c>
      <c r="F25" s="20">
        <v>3.0</v>
      </c>
      <c r="G25" s="20">
        <v>7.0</v>
      </c>
      <c r="H25" s="21">
        <f>F25+G25</f>
        <v>10</v>
      </c>
      <c r="I25" s="20"/>
      <c r="J25" s="20">
        <v>17.0</v>
      </c>
      <c r="K25" s="20" t="s">
        <v>961</v>
      </c>
      <c r="L25" s="20" t="s">
        <v>962</v>
      </c>
      <c r="M25" s="20" t="s">
        <v>963</v>
      </c>
      <c r="N25" s="20" t="s">
        <v>964</v>
      </c>
      <c r="O25" s="27">
        <v>201511.0</v>
      </c>
    </row>
    <row r="26" ht="22.5" hidden="1" customHeight="1">
      <c r="A26" s="20">
        <v>3.0</v>
      </c>
      <c r="B26" s="20" t="s">
        <v>965</v>
      </c>
      <c r="C26" s="20"/>
      <c r="D26" s="20"/>
      <c r="E26" s="129"/>
      <c r="F26" s="20"/>
      <c r="G26" s="20"/>
      <c r="H26" s="21"/>
      <c r="I26" s="20"/>
      <c r="J26" s="20"/>
      <c r="K26" s="20"/>
      <c r="L26" s="20"/>
      <c r="M26" s="20"/>
      <c r="N26" s="20"/>
      <c r="O26" s="27"/>
    </row>
    <row r="27" hidden="1"/>
    <row r="28" hidden="1">
      <c r="A28" s="5" t="s">
        <v>966</v>
      </c>
    </row>
    <row r="29" hidden="1">
      <c r="A29" s="130" t="s">
        <v>967</v>
      </c>
      <c r="B29" s="130" t="s">
        <v>968</v>
      </c>
      <c r="C29" s="131" t="s">
        <v>969</v>
      </c>
      <c r="D29" s="131" t="s">
        <v>970</v>
      </c>
      <c r="E29" s="131" t="s">
        <v>971</v>
      </c>
    </row>
    <row r="30" hidden="1">
      <c r="A30" s="2" t="s">
        <v>32</v>
      </c>
      <c r="B30" s="2" t="s">
        <v>230</v>
      </c>
      <c r="D30" s="2">
        <v>173.0</v>
      </c>
    </row>
    <row r="31" hidden="1">
      <c r="A31" s="2" t="s">
        <v>32</v>
      </c>
      <c r="B31" s="2" t="s">
        <v>230</v>
      </c>
      <c r="D31" s="2">
        <v>409.0</v>
      </c>
    </row>
    <row r="32" hidden="1">
      <c r="A32" s="2" t="s">
        <v>32</v>
      </c>
      <c r="B32" s="2" t="s">
        <v>258</v>
      </c>
      <c r="D32" s="2">
        <v>443.0</v>
      </c>
    </row>
    <row r="33" hidden="1">
      <c r="A33" s="2" t="s">
        <v>32</v>
      </c>
      <c r="B33" s="2" t="s">
        <v>258</v>
      </c>
      <c r="D33" s="2">
        <v>994.0</v>
      </c>
    </row>
    <row r="34" hidden="1">
      <c r="A34" s="2" t="s">
        <v>32</v>
      </c>
      <c r="B34" s="2" t="s">
        <v>258</v>
      </c>
      <c r="D34" s="2">
        <v>1141.0</v>
      </c>
    </row>
    <row r="35" hidden="1">
      <c r="A35" s="2" t="s">
        <v>32</v>
      </c>
      <c r="B35" s="2" t="s">
        <v>230</v>
      </c>
      <c r="D35" s="2">
        <v>1198.0</v>
      </c>
    </row>
    <row r="36" hidden="1">
      <c r="A36" s="2" t="s">
        <v>32</v>
      </c>
      <c r="B36" s="2" t="s">
        <v>258</v>
      </c>
      <c r="D36" s="2">
        <v>1290.0</v>
      </c>
    </row>
    <row r="37" hidden="1">
      <c r="A37" s="2" t="s">
        <v>32</v>
      </c>
      <c r="B37" s="2" t="s">
        <v>258</v>
      </c>
      <c r="D37" s="2">
        <v>4073.0</v>
      </c>
    </row>
    <row r="38" hidden="1">
      <c r="A38" s="2" t="s">
        <v>32</v>
      </c>
      <c r="B38" s="2" t="s">
        <v>258</v>
      </c>
      <c r="D38" s="2">
        <v>5707.0</v>
      </c>
    </row>
    <row r="39" hidden="1">
      <c r="A39" s="2" t="s">
        <v>32</v>
      </c>
      <c r="B39" s="2" t="s">
        <v>258</v>
      </c>
      <c r="D39" s="2">
        <v>5798.0</v>
      </c>
    </row>
    <row r="43" hidden="1">
      <c r="A43" s="2" t="s">
        <v>972</v>
      </c>
    </row>
    <row r="44" hidden="1">
      <c r="A44" s="2" t="s">
        <v>973</v>
      </c>
      <c r="B44" s="2" t="s">
        <v>974</v>
      </c>
    </row>
    <row r="45" hidden="1">
      <c r="A45" s="2" t="s">
        <v>975</v>
      </c>
      <c r="B45" s="2" t="s">
        <v>976</v>
      </c>
    </row>
    <row r="46" hidden="1"/>
    <row r="47" hidden="1">
      <c r="A47" s="2" t="s">
        <v>977</v>
      </c>
    </row>
    <row r="48" hidden="1">
      <c r="A48" s="2" t="s">
        <v>978</v>
      </c>
      <c r="B48" s="2" t="s">
        <v>979</v>
      </c>
    </row>
    <row r="49" hidden="1">
      <c r="A49" s="2" t="s">
        <v>980</v>
      </c>
      <c r="B49" s="2" t="s">
        <v>981</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22.0"/>
    <col customWidth="1" min="3" max="3" width="22.88"/>
    <col customWidth="1" min="4" max="4" width="22.0"/>
    <col customWidth="1" min="5" max="5" width="14.38"/>
    <col customWidth="1" min="6" max="6" width="20.25"/>
    <col customWidth="1" min="7" max="7" width="18.75"/>
    <col customWidth="1" min="8" max="8" width="15.88"/>
    <col customWidth="1" min="9" max="9" width="16.13"/>
  </cols>
  <sheetData>
    <row r="1">
      <c r="A1" s="5" t="s">
        <v>982</v>
      </c>
    </row>
    <row r="2">
      <c r="A2" s="5" t="s">
        <v>12</v>
      </c>
      <c r="B2" s="5" t="s">
        <v>950</v>
      </c>
      <c r="C2" s="5" t="s">
        <v>951</v>
      </c>
      <c r="D2" s="5" t="s">
        <v>952</v>
      </c>
      <c r="E2" s="5" t="s">
        <v>24</v>
      </c>
      <c r="F2" s="5" t="s">
        <v>953</v>
      </c>
      <c r="G2" s="5" t="s">
        <v>954</v>
      </c>
      <c r="H2" s="5" t="s">
        <v>955</v>
      </c>
    </row>
    <row r="3">
      <c r="A3" s="2">
        <v>1.0</v>
      </c>
      <c r="B3" s="2" t="s">
        <v>31</v>
      </c>
      <c r="C3" s="2">
        <v>9.0</v>
      </c>
      <c r="D3" s="2">
        <v>10.0</v>
      </c>
      <c r="E3" s="2">
        <f t="shared" ref="E3:E5" si="1">C3+D3</f>
        <v>19</v>
      </c>
      <c r="F3" s="2">
        <v>3.0</v>
      </c>
      <c r="G3" s="2">
        <v>6.0</v>
      </c>
      <c r="H3" s="15">
        <f>F3+G3</f>
        <v>9</v>
      </c>
    </row>
    <row r="4">
      <c r="A4" s="2">
        <v>2.0</v>
      </c>
      <c r="B4" s="2" t="s">
        <v>45</v>
      </c>
      <c r="C4" s="2">
        <v>3.0</v>
      </c>
      <c r="D4" s="2">
        <v>8.0</v>
      </c>
      <c r="E4" s="2">
        <f t="shared" si="1"/>
        <v>11</v>
      </c>
    </row>
    <row r="5">
      <c r="A5" s="2">
        <v>3.0</v>
      </c>
      <c r="B5" s="2" t="s">
        <v>965</v>
      </c>
      <c r="C5" s="2">
        <v>1.0</v>
      </c>
      <c r="D5" s="2">
        <v>3.0</v>
      </c>
      <c r="E5" s="2">
        <f t="shared" si="1"/>
        <v>4</v>
      </c>
    </row>
    <row r="8">
      <c r="B8" s="13" t="s">
        <v>31</v>
      </c>
      <c r="C8" s="13" t="s">
        <v>45</v>
      </c>
      <c r="D8" s="13" t="s">
        <v>965</v>
      </c>
    </row>
    <row r="9" hidden="1">
      <c r="A9" s="5" t="s">
        <v>984</v>
      </c>
    </row>
    <row r="10" hidden="1"/>
    <row r="11" hidden="1">
      <c r="A11" s="5" t="s">
        <v>985</v>
      </c>
    </row>
    <row r="12" hidden="1">
      <c r="B12" s="2" t="s">
        <v>986</v>
      </c>
    </row>
    <row r="13" hidden="1"/>
    <row r="14" hidden="1">
      <c r="A14" s="5" t="s">
        <v>987</v>
      </c>
    </row>
    <row r="15" hidden="1">
      <c r="B15" s="2" t="s">
        <v>988</v>
      </c>
    </row>
    <row r="16">
      <c r="B16" s="2">
        <v>76.0</v>
      </c>
      <c r="C16" s="132">
        <v>173.0</v>
      </c>
      <c r="D16" s="2">
        <v>152.0</v>
      </c>
    </row>
    <row r="17">
      <c r="B17" s="132">
        <v>173.0</v>
      </c>
      <c r="C17" s="132">
        <v>443.0</v>
      </c>
      <c r="D17" s="132">
        <v>994.0</v>
      </c>
    </row>
    <row r="18">
      <c r="B18" s="2">
        <v>279.0</v>
      </c>
      <c r="C18" s="2">
        <v>1141.0</v>
      </c>
      <c r="D18" s="132">
        <v>1279.0</v>
      </c>
    </row>
    <row r="19">
      <c r="B19" s="2">
        <v>420.0</v>
      </c>
      <c r="C19" s="132">
        <v>1198.0</v>
      </c>
      <c r="D19" s="2">
        <v>2616.0</v>
      </c>
    </row>
    <row r="20">
      <c r="B20" s="132">
        <v>443.0</v>
      </c>
      <c r="C20" s="132">
        <v>1239.0</v>
      </c>
    </row>
    <row r="21">
      <c r="B21" s="2">
        <v>703.0</v>
      </c>
      <c r="C21" s="132">
        <v>1279.0</v>
      </c>
    </row>
    <row r="22">
      <c r="B22" s="2">
        <v>994.0</v>
      </c>
      <c r="C22" s="132">
        <v>1290.0</v>
      </c>
    </row>
    <row r="23">
      <c r="B23" s="132">
        <v>1198.0</v>
      </c>
      <c r="C23" s="132">
        <v>3994.0</v>
      </c>
    </row>
    <row r="24">
      <c r="B24" s="132">
        <v>1239.0</v>
      </c>
      <c r="C24" s="2">
        <v>4073.0</v>
      </c>
    </row>
    <row r="25">
      <c r="B25" s="132">
        <v>1279.0</v>
      </c>
      <c r="C25" s="2">
        <v>5798.0</v>
      </c>
    </row>
    <row r="26">
      <c r="B26" s="132">
        <v>1290.0</v>
      </c>
      <c r="C26" s="2">
        <v>6509.0</v>
      </c>
    </row>
    <row r="27">
      <c r="B27" s="2">
        <v>1852.0</v>
      </c>
    </row>
    <row r="28">
      <c r="B28" s="132">
        <v>3994.0</v>
      </c>
    </row>
    <row r="29">
      <c r="B29" s="2">
        <v>4544.0</v>
      </c>
    </row>
    <row r="32">
      <c r="B32" s="13" t="s">
        <v>31</v>
      </c>
      <c r="C32" s="13" t="s">
        <v>45</v>
      </c>
      <c r="D32" s="13" t="s">
        <v>965</v>
      </c>
    </row>
    <row r="33">
      <c r="A33" s="2" t="s">
        <v>991</v>
      </c>
      <c r="B33" s="2">
        <v>73.0</v>
      </c>
      <c r="C33" s="132">
        <v>173.0</v>
      </c>
      <c r="D33" s="2">
        <v>152.0</v>
      </c>
    </row>
    <row r="34">
      <c r="A34" s="2" t="s">
        <v>992</v>
      </c>
      <c r="B34" s="2">
        <v>76.0</v>
      </c>
      <c r="C34" s="132">
        <v>443.0</v>
      </c>
      <c r="D34" s="132">
        <v>994.0</v>
      </c>
    </row>
    <row r="35">
      <c r="A35" s="2" t="s">
        <v>992</v>
      </c>
      <c r="B35" s="2">
        <v>93.0</v>
      </c>
      <c r="C35" s="132">
        <v>1141.0</v>
      </c>
      <c r="D35" s="132">
        <v>1279.0</v>
      </c>
    </row>
    <row r="36">
      <c r="A36" s="2" t="s">
        <v>993</v>
      </c>
      <c r="B36" s="132">
        <v>173.0</v>
      </c>
      <c r="C36" s="132">
        <v>1198.0</v>
      </c>
      <c r="D36" s="2">
        <v>2616.0</v>
      </c>
    </row>
    <row r="37">
      <c r="A37" s="2" t="s">
        <v>991</v>
      </c>
      <c r="B37" s="2">
        <v>217.0</v>
      </c>
      <c r="C37" s="132">
        <v>1239.0</v>
      </c>
    </row>
    <row r="38">
      <c r="A38" s="2" t="s">
        <v>992</v>
      </c>
      <c r="B38" s="2">
        <v>279.0</v>
      </c>
      <c r="C38" s="132">
        <v>1279.0</v>
      </c>
    </row>
    <row r="39">
      <c r="A39" s="2" t="s">
        <v>992</v>
      </c>
      <c r="B39" s="2">
        <v>420.0</v>
      </c>
      <c r="C39" s="132">
        <v>1290.0</v>
      </c>
    </row>
    <row r="40">
      <c r="A40" s="2" t="s">
        <v>994</v>
      </c>
      <c r="B40" s="132">
        <v>443.0</v>
      </c>
      <c r="C40" s="132">
        <v>3994.0</v>
      </c>
    </row>
    <row r="41">
      <c r="A41" s="2" t="s">
        <v>991</v>
      </c>
      <c r="B41" s="133">
        <v>703.0</v>
      </c>
      <c r="C41" s="2">
        <v>4073.0</v>
      </c>
    </row>
    <row r="42">
      <c r="A42" s="2" t="s">
        <v>994</v>
      </c>
      <c r="B42" s="2">
        <v>994.0</v>
      </c>
      <c r="C42" s="2">
        <v>5798.0</v>
      </c>
    </row>
    <row r="43">
      <c r="A43" s="2" t="s">
        <v>994</v>
      </c>
      <c r="B43" s="132">
        <v>1141.0</v>
      </c>
      <c r="C43" s="2">
        <v>6509.0</v>
      </c>
    </row>
    <row r="44">
      <c r="A44" s="2" t="s">
        <v>993</v>
      </c>
      <c r="B44" s="132">
        <v>1198.0</v>
      </c>
    </row>
    <row r="45">
      <c r="A45" s="2" t="s">
        <v>993</v>
      </c>
      <c r="B45" s="132">
        <v>1239.0</v>
      </c>
    </row>
    <row r="46">
      <c r="A46" s="2" t="s">
        <v>994</v>
      </c>
      <c r="B46" s="132">
        <v>1290.0</v>
      </c>
    </row>
    <row r="47">
      <c r="A47" s="2" t="s">
        <v>994</v>
      </c>
      <c r="B47" s="132">
        <v>1279.0</v>
      </c>
    </row>
    <row r="48">
      <c r="A48" s="2" t="s">
        <v>991</v>
      </c>
      <c r="B48" s="2">
        <v>1590.0</v>
      </c>
    </row>
    <row r="49">
      <c r="A49" s="2" t="s">
        <v>991</v>
      </c>
      <c r="B49" s="2">
        <v>1852.0</v>
      </c>
    </row>
    <row r="50">
      <c r="A50" s="2" t="s">
        <v>994</v>
      </c>
      <c r="B50" s="132">
        <v>3994.0</v>
      </c>
    </row>
    <row r="51">
      <c r="A51" s="2" t="s">
        <v>991</v>
      </c>
      <c r="B51" s="2">
        <v>4554.0</v>
      </c>
    </row>
    <row r="54">
      <c r="A54" s="5" t="s">
        <v>995</v>
      </c>
    </row>
    <row r="55">
      <c r="A55" s="5" t="s">
        <v>12</v>
      </c>
      <c r="B55" s="5" t="s">
        <v>950</v>
      </c>
      <c r="C55" s="5" t="s">
        <v>951</v>
      </c>
      <c r="D55" s="5" t="s">
        <v>952</v>
      </c>
      <c r="E55" s="5" t="s">
        <v>24</v>
      </c>
      <c r="F55" s="5" t="s">
        <v>953</v>
      </c>
      <c r="G55" s="5" t="s">
        <v>954</v>
      </c>
      <c r="H55" s="5" t="s">
        <v>955</v>
      </c>
      <c r="I55" s="5" t="s">
        <v>996</v>
      </c>
      <c r="J55" s="5" t="s">
        <v>997</v>
      </c>
      <c r="M55" s="5" t="s">
        <v>998</v>
      </c>
      <c r="N55" s="5" t="s">
        <v>999</v>
      </c>
      <c r="O55" s="5" t="s">
        <v>1000</v>
      </c>
    </row>
    <row r="56">
      <c r="A56" s="2">
        <v>1.0</v>
      </c>
      <c r="B56" s="2" t="s">
        <v>31</v>
      </c>
      <c r="C56" s="2">
        <v>0.0</v>
      </c>
      <c r="D56" s="2">
        <v>1.0</v>
      </c>
      <c r="E56" s="2">
        <v>1.0</v>
      </c>
      <c r="F56" s="2">
        <v>1.0</v>
      </c>
      <c r="G56" s="2">
        <v>7.0</v>
      </c>
      <c r="H56" s="15">
        <f>F56+G56</f>
        <v>8</v>
      </c>
      <c r="M56" s="2">
        <v>113.0</v>
      </c>
      <c r="N56" s="2">
        <v>33.0</v>
      </c>
      <c r="O56" s="2">
        <v>14.0</v>
      </c>
    </row>
    <row r="57">
      <c r="A57" s="2">
        <v>2.0</v>
      </c>
      <c r="B57" s="2" t="s">
        <v>45</v>
      </c>
      <c r="C57" s="2">
        <v>0.0</v>
      </c>
      <c r="D57" s="2">
        <v>1.0</v>
      </c>
      <c r="E57" s="2">
        <v>1.0</v>
      </c>
      <c r="I57" s="2" t="s">
        <v>1001</v>
      </c>
      <c r="J57" s="2" t="s">
        <v>1002</v>
      </c>
      <c r="M57" s="2">
        <v>150.0</v>
      </c>
      <c r="N57" s="2">
        <v>15.0</v>
      </c>
      <c r="O57" s="2">
        <v>7.0</v>
      </c>
    </row>
    <row r="58">
      <c r="A58" s="2">
        <v>3.0</v>
      </c>
      <c r="B58" s="2" t="s">
        <v>965</v>
      </c>
      <c r="C58" s="2">
        <v>0.0</v>
      </c>
      <c r="D58" s="2">
        <v>0.0</v>
      </c>
      <c r="E58" s="2">
        <v>0.0</v>
      </c>
      <c r="I58" s="2" t="s">
        <v>1003</v>
      </c>
      <c r="J58" s="2" t="s">
        <v>1004</v>
      </c>
      <c r="M58" s="2">
        <v>150.0</v>
      </c>
      <c r="N58" s="2">
        <v>1.0</v>
      </c>
      <c r="O58" s="2">
        <v>0.0</v>
      </c>
    </row>
    <row r="61">
      <c r="A61" s="5" t="s">
        <v>967</v>
      </c>
      <c r="B61" s="5" t="s">
        <v>968</v>
      </c>
      <c r="C61" s="13" t="s">
        <v>31</v>
      </c>
      <c r="D61" s="13" t="s">
        <v>45</v>
      </c>
      <c r="E61" s="13" t="s">
        <v>965</v>
      </c>
    </row>
    <row r="62">
      <c r="A62" s="2" t="s">
        <v>32</v>
      </c>
      <c r="B62" s="2" t="s">
        <v>258</v>
      </c>
      <c r="C62" s="2">
        <v>962.0</v>
      </c>
      <c r="D62" s="2">
        <v>962.0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3"/>
    <col customWidth="1" min="2" max="2" width="20.0"/>
  </cols>
  <sheetData>
    <row r="1">
      <c r="A1" s="5" t="s">
        <v>12</v>
      </c>
      <c r="B1" s="5" t="s">
        <v>1009</v>
      </c>
      <c r="C1" s="5" t="s">
        <v>1010</v>
      </c>
      <c r="D1" s="5" t="s">
        <v>744</v>
      </c>
      <c r="E1" s="5" t="s">
        <v>1011</v>
      </c>
    </row>
    <row r="2">
      <c r="A2" s="2">
        <v>1.0</v>
      </c>
      <c r="B2" s="2" t="s">
        <v>123</v>
      </c>
      <c r="C2" s="2">
        <v>441.0</v>
      </c>
      <c r="D2" s="2" t="s">
        <v>777</v>
      </c>
    </row>
    <row r="3">
      <c r="A3" s="2">
        <v>2.0</v>
      </c>
      <c r="B3" s="2" t="s">
        <v>123</v>
      </c>
      <c r="C3" s="2">
        <v>2871.0</v>
      </c>
      <c r="D3" s="2" t="s">
        <v>777</v>
      </c>
    </row>
    <row r="4">
      <c r="A4" s="2">
        <v>3.0</v>
      </c>
      <c r="B4" s="2" t="s">
        <v>112</v>
      </c>
      <c r="C4" s="2">
        <v>149.0</v>
      </c>
      <c r="D4" s="2" t="s">
        <v>777</v>
      </c>
    </row>
    <row r="5">
      <c r="A5" s="2">
        <v>4.0</v>
      </c>
      <c r="B5" s="2" t="s">
        <v>112</v>
      </c>
      <c r="C5" s="2">
        <v>209.0</v>
      </c>
      <c r="D5" s="2" t="s">
        <v>777</v>
      </c>
    </row>
    <row r="6">
      <c r="A6" s="2">
        <v>5.0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34.5"/>
    <col customWidth="1" min="8" max="8" width="69.88"/>
  </cols>
  <sheetData>
    <row r="1">
      <c r="A1" s="5" t="s">
        <v>12</v>
      </c>
      <c r="B1" s="5" t="s">
        <v>1009</v>
      </c>
      <c r="C1" s="5" t="s">
        <v>1010</v>
      </c>
      <c r="D1" s="5" t="s">
        <v>744</v>
      </c>
      <c r="E1" s="5" t="s">
        <v>1014</v>
      </c>
      <c r="F1" s="5" t="s">
        <v>1015</v>
      </c>
      <c r="G1" s="5" t="s">
        <v>1016</v>
      </c>
      <c r="H1" s="5" t="s">
        <v>1011</v>
      </c>
      <c r="I1" s="5" t="s">
        <v>1017</v>
      </c>
      <c r="J1" s="2" t="s">
        <v>996</v>
      </c>
      <c r="K1" s="2" t="s">
        <v>1018</v>
      </c>
    </row>
    <row r="2">
      <c r="A2" s="2">
        <v>1.0</v>
      </c>
      <c r="B2" s="146" t="s">
        <v>174</v>
      </c>
      <c r="C2" s="147">
        <v>273.0</v>
      </c>
      <c r="D2" s="148" t="s">
        <v>777</v>
      </c>
      <c r="E2" s="149" t="s">
        <v>32</v>
      </c>
      <c r="F2" s="149" t="s">
        <v>32</v>
      </c>
      <c r="G2" s="149" t="s">
        <v>41</v>
      </c>
      <c r="H2" s="149" t="s">
        <v>1019</v>
      </c>
      <c r="I2" s="150"/>
      <c r="J2" s="151">
        <v>1069.55</v>
      </c>
      <c r="K2" s="151">
        <v>0.01782</v>
      </c>
    </row>
    <row r="3" ht="73.5" hidden="1" customHeight="1">
      <c r="A3" s="152">
        <v>2.0</v>
      </c>
      <c r="B3" s="153" t="s">
        <v>1020</v>
      </c>
      <c r="C3" s="154">
        <v>1126.0</v>
      </c>
      <c r="D3" s="155" t="s">
        <v>1021</v>
      </c>
      <c r="E3" s="155" t="s">
        <v>41</v>
      </c>
      <c r="F3" s="155" t="s">
        <v>41</v>
      </c>
      <c r="G3" s="155" t="s">
        <v>41</v>
      </c>
      <c r="H3" s="155" t="s">
        <v>1022</v>
      </c>
      <c r="I3" s="156"/>
      <c r="J3" s="157"/>
      <c r="K3" s="157"/>
    </row>
    <row r="4">
      <c r="A4" s="2">
        <v>2.0</v>
      </c>
      <c r="B4" s="2" t="s">
        <v>112</v>
      </c>
      <c r="C4" s="158">
        <v>209.0</v>
      </c>
      <c r="D4" s="159" t="s">
        <v>777</v>
      </c>
      <c r="E4" s="159" t="s">
        <v>32</v>
      </c>
      <c r="F4" s="159" t="s">
        <v>32</v>
      </c>
      <c r="G4" s="159" t="s">
        <v>32</v>
      </c>
      <c r="H4" s="159"/>
      <c r="I4" s="161"/>
      <c r="J4" s="161">
        <v>241.29</v>
      </c>
      <c r="K4" s="161">
        <v>0.011447</v>
      </c>
    </row>
    <row r="5" hidden="1">
      <c r="A5" s="152">
        <v>4.0</v>
      </c>
      <c r="B5" s="146" t="s">
        <v>174</v>
      </c>
      <c r="C5" s="149">
        <v>33.0</v>
      </c>
      <c r="D5" s="148" t="s">
        <v>777</v>
      </c>
      <c r="E5" s="149" t="s">
        <v>41</v>
      </c>
      <c r="F5" s="149" t="s">
        <v>41</v>
      </c>
      <c r="G5" s="149" t="s">
        <v>41</v>
      </c>
      <c r="H5" s="149" t="s">
        <v>1023</v>
      </c>
      <c r="I5" s="150"/>
      <c r="J5" s="150"/>
      <c r="K5" s="150"/>
    </row>
    <row r="6">
      <c r="A6" s="2">
        <v>3.0</v>
      </c>
      <c r="B6" s="146" t="s">
        <v>174</v>
      </c>
      <c r="C6" s="149">
        <v>56.0</v>
      </c>
      <c r="D6" s="148" t="s">
        <v>777</v>
      </c>
      <c r="E6" s="149" t="s">
        <v>32</v>
      </c>
      <c r="F6" s="149" t="s">
        <v>32</v>
      </c>
      <c r="G6" s="162" t="s">
        <v>41</v>
      </c>
      <c r="H6" s="149" t="s">
        <v>1024</v>
      </c>
      <c r="I6" s="150"/>
      <c r="J6" s="149">
        <v>370.58</v>
      </c>
      <c r="K6" s="151">
        <v>0.020632</v>
      </c>
    </row>
    <row r="7">
      <c r="A7" s="2">
        <v>4.0</v>
      </c>
      <c r="B7" s="146" t="s">
        <v>174</v>
      </c>
      <c r="C7" s="149">
        <v>71.0</v>
      </c>
      <c r="D7" s="148" t="s">
        <v>777</v>
      </c>
      <c r="E7" s="149" t="s">
        <v>32</v>
      </c>
      <c r="F7" s="149" t="s">
        <v>41</v>
      </c>
      <c r="G7" s="149" t="s">
        <v>41</v>
      </c>
      <c r="H7" s="149" t="s">
        <v>1025</v>
      </c>
      <c r="I7" s="150"/>
      <c r="J7" s="149">
        <v>869.75</v>
      </c>
      <c r="K7" s="149">
        <v>0.019957</v>
      </c>
    </row>
    <row r="8">
      <c r="A8" s="33">
        <v>5.0</v>
      </c>
      <c r="B8" s="2" t="s">
        <v>112</v>
      </c>
      <c r="C8" s="149">
        <v>83.0</v>
      </c>
      <c r="D8" s="149" t="s">
        <v>777</v>
      </c>
      <c r="E8" s="149" t="s">
        <v>32</v>
      </c>
      <c r="F8" s="149" t="s">
        <v>32</v>
      </c>
      <c r="G8" s="149" t="s">
        <v>41</v>
      </c>
      <c r="H8" s="149" t="s">
        <v>1026</v>
      </c>
      <c r="I8" s="150"/>
      <c r="J8" s="149">
        <v>1022.91</v>
      </c>
      <c r="K8" s="149" t="s">
        <v>1027</v>
      </c>
    </row>
    <row r="9">
      <c r="A9" s="2">
        <v>6.0</v>
      </c>
      <c r="B9" s="146" t="s">
        <v>174</v>
      </c>
      <c r="C9" s="149">
        <v>121.0</v>
      </c>
      <c r="D9" s="148" t="s">
        <v>777</v>
      </c>
      <c r="E9" s="149" t="s">
        <v>32</v>
      </c>
      <c r="F9" s="149" t="s">
        <v>32</v>
      </c>
      <c r="G9" s="149" t="s">
        <v>32</v>
      </c>
      <c r="H9" s="150"/>
      <c r="I9" s="150"/>
      <c r="J9" s="149">
        <v>682.75</v>
      </c>
      <c r="K9" s="149">
        <v>0.019073</v>
      </c>
    </row>
    <row r="10">
      <c r="A10" s="2">
        <v>7.0</v>
      </c>
      <c r="B10" s="2" t="s">
        <v>112</v>
      </c>
      <c r="C10" s="149">
        <v>149.0</v>
      </c>
      <c r="D10" s="148" t="s">
        <v>777</v>
      </c>
      <c r="E10" s="149" t="s">
        <v>32</v>
      </c>
      <c r="F10" s="149" t="s">
        <v>41</v>
      </c>
      <c r="G10" s="149" t="s">
        <v>41</v>
      </c>
      <c r="H10" s="149" t="s">
        <v>1028</v>
      </c>
      <c r="I10" s="150"/>
      <c r="J10" s="149">
        <v>3221.06</v>
      </c>
      <c r="K10" s="149">
        <v>0.023768</v>
      </c>
    </row>
    <row r="11">
      <c r="A11" s="2">
        <v>8.0</v>
      </c>
      <c r="B11" s="146" t="s">
        <v>174</v>
      </c>
      <c r="C11" s="149">
        <v>174.0</v>
      </c>
      <c r="D11" s="148" t="s">
        <v>777</v>
      </c>
      <c r="E11" s="149" t="s">
        <v>32</v>
      </c>
      <c r="F11" s="149" t="s">
        <v>32</v>
      </c>
      <c r="G11" s="166" t="s">
        <v>41</v>
      </c>
      <c r="H11" s="149" t="s">
        <v>1030</v>
      </c>
      <c r="I11" s="150"/>
      <c r="J11" s="151">
        <v>582.01</v>
      </c>
      <c r="K11" s="149">
        <v>0.018424</v>
      </c>
    </row>
    <row r="12">
      <c r="A12" s="2">
        <v>9.0</v>
      </c>
      <c r="B12" s="168" t="s">
        <v>128</v>
      </c>
      <c r="C12" s="149">
        <v>793.0</v>
      </c>
      <c r="D12" s="148" t="s">
        <v>777</v>
      </c>
      <c r="E12" s="149" t="s">
        <v>32</v>
      </c>
      <c r="F12" s="149" t="s">
        <v>32</v>
      </c>
      <c r="G12" s="149" t="s">
        <v>41</v>
      </c>
      <c r="H12" s="149" t="s">
        <v>1031</v>
      </c>
      <c r="I12" s="150"/>
      <c r="J12" s="151">
        <v>1211.32</v>
      </c>
      <c r="K12" s="151">
        <v>0.01609</v>
      </c>
    </row>
    <row r="13" hidden="1">
      <c r="A13" s="152">
        <v>12.0</v>
      </c>
      <c r="B13" s="168" t="s">
        <v>1033</v>
      </c>
      <c r="C13" s="149">
        <v>49.0</v>
      </c>
      <c r="D13" s="148" t="s">
        <v>777</v>
      </c>
      <c r="E13" s="149" t="s">
        <v>41</v>
      </c>
      <c r="F13" s="149" t="s">
        <v>41</v>
      </c>
      <c r="G13" s="149" t="s">
        <v>41</v>
      </c>
      <c r="H13" s="149" t="s">
        <v>1034</v>
      </c>
      <c r="I13" s="150"/>
      <c r="J13" s="150"/>
      <c r="K13" s="150"/>
    </row>
    <row r="14">
      <c r="A14" s="2">
        <v>10.0</v>
      </c>
      <c r="B14" s="168" t="s">
        <v>1035</v>
      </c>
      <c r="C14" s="149">
        <v>411.0</v>
      </c>
      <c r="D14" s="148" t="s">
        <v>777</v>
      </c>
      <c r="E14" s="149" t="s">
        <v>32</v>
      </c>
      <c r="F14" s="149" t="s">
        <v>32</v>
      </c>
      <c r="G14" s="162" t="s">
        <v>41</v>
      </c>
      <c r="H14" s="149" t="s">
        <v>1036</v>
      </c>
      <c r="I14" s="150"/>
      <c r="J14" s="151">
        <v>1166.98</v>
      </c>
      <c r="K14" s="151">
        <v>0.023102</v>
      </c>
    </row>
    <row r="15" hidden="1">
      <c r="A15" s="152">
        <v>14.0</v>
      </c>
      <c r="B15" s="168" t="s">
        <v>1038</v>
      </c>
      <c r="C15" s="149">
        <v>52.0</v>
      </c>
      <c r="D15" s="148" t="s">
        <v>777</v>
      </c>
      <c r="E15" s="149" t="s">
        <v>41</v>
      </c>
      <c r="F15" s="149" t="s">
        <v>41</v>
      </c>
      <c r="G15" s="149" t="s">
        <v>41</v>
      </c>
      <c r="H15" s="149" t="s">
        <v>1039</v>
      </c>
      <c r="I15" s="150"/>
      <c r="J15" s="150"/>
      <c r="K15" s="150"/>
    </row>
    <row r="16">
      <c r="A16" s="2">
        <v>11.0</v>
      </c>
      <c r="B16" s="168" t="s">
        <v>1040</v>
      </c>
      <c r="C16" s="149">
        <v>313.0</v>
      </c>
      <c r="D16" s="148" t="s">
        <v>777</v>
      </c>
      <c r="E16" s="149" t="s">
        <v>32</v>
      </c>
      <c r="F16" s="149" t="s">
        <v>32</v>
      </c>
      <c r="G16" s="149" t="s">
        <v>32</v>
      </c>
      <c r="H16" s="149"/>
      <c r="I16" s="150"/>
      <c r="J16" s="169">
        <v>578.16</v>
      </c>
      <c r="K16" s="151">
        <v>0.003264</v>
      </c>
    </row>
    <row r="17">
      <c r="A17" s="2">
        <v>12.0</v>
      </c>
      <c r="B17" s="168" t="s">
        <v>118</v>
      </c>
      <c r="C17" s="149">
        <v>87.0</v>
      </c>
      <c r="D17" s="149" t="s">
        <v>786</v>
      </c>
      <c r="E17" s="149" t="s">
        <v>32</v>
      </c>
      <c r="F17" s="149" t="s">
        <v>41</v>
      </c>
      <c r="G17" s="149" t="s">
        <v>41</v>
      </c>
      <c r="H17" s="149" t="s">
        <v>1042</v>
      </c>
      <c r="I17" s="150"/>
      <c r="J17" s="149">
        <v>1130.6</v>
      </c>
      <c r="K17" s="149">
        <v>0.008127</v>
      </c>
    </row>
    <row r="18">
      <c r="A18" s="2">
        <v>13.0</v>
      </c>
      <c r="B18" s="168" t="s">
        <v>1043</v>
      </c>
      <c r="C18" s="149">
        <v>434.0</v>
      </c>
      <c r="D18" s="149" t="s">
        <v>1044</v>
      </c>
      <c r="E18" s="149" t="s">
        <v>32</v>
      </c>
      <c r="F18" s="149" t="s">
        <v>41</v>
      </c>
      <c r="G18" s="149" t="s">
        <v>41</v>
      </c>
      <c r="H18" s="149" t="s">
        <v>1046</v>
      </c>
      <c r="I18" s="150"/>
      <c r="J18" s="149">
        <v>554.74</v>
      </c>
      <c r="K18" s="149">
        <v>0.014229</v>
      </c>
    </row>
    <row r="19">
      <c r="A19" s="2">
        <v>14.0</v>
      </c>
      <c r="B19" s="168" t="s">
        <v>1035</v>
      </c>
      <c r="C19" s="149">
        <v>71.0</v>
      </c>
      <c r="D19" s="148" t="s">
        <v>777</v>
      </c>
      <c r="E19" s="149" t="s">
        <v>32</v>
      </c>
      <c r="F19" s="149" t="s">
        <v>32</v>
      </c>
      <c r="G19" s="149" t="s">
        <v>32</v>
      </c>
      <c r="H19" s="149" t="s">
        <v>1047</v>
      </c>
      <c r="I19" s="150"/>
      <c r="J19" s="151">
        <v>928.14</v>
      </c>
      <c r="K19" s="151">
        <v>0.007475</v>
      </c>
    </row>
    <row r="20" hidden="1">
      <c r="A20" s="152">
        <v>19.0</v>
      </c>
      <c r="B20" s="168" t="s">
        <v>128</v>
      </c>
      <c r="C20" s="149">
        <v>799.0</v>
      </c>
      <c r="D20" s="148" t="s">
        <v>777</v>
      </c>
      <c r="E20" s="149" t="s">
        <v>41</v>
      </c>
      <c r="F20" s="149" t="s">
        <v>41</v>
      </c>
      <c r="G20" s="149" t="s">
        <v>41</v>
      </c>
      <c r="H20" s="149" t="s">
        <v>1049</v>
      </c>
      <c r="I20" s="150"/>
    </row>
    <row r="21">
      <c r="A21" s="2">
        <v>15.0</v>
      </c>
      <c r="B21" s="168" t="s">
        <v>1040</v>
      </c>
      <c r="C21" s="149">
        <v>256.0</v>
      </c>
      <c r="D21" s="148" t="s">
        <v>777</v>
      </c>
      <c r="E21" s="149" t="s">
        <v>32</v>
      </c>
      <c r="F21" s="149" t="s">
        <v>32</v>
      </c>
      <c r="G21" s="166" t="s">
        <v>32</v>
      </c>
      <c r="H21" s="149" t="s">
        <v>1050</v>
      </c>
      <c r="I21" s="150"/>
      <c r="J21" s="151">
        <v>950.18</v>
      </c>
      <c r="K21" s="151">
        <v>0.014523</v>
      </c>
    </row>
    <row r="22">
      <c r="A22" s="2">
        <v>16.0</v>
      </c>
      <c r="B22" s="168" t="s">
        <v>1043</v>
      </c>
      <c r="C22" s="149">
        <v>538.0</v>
      </c>
      <c r="D22" s="149" t="s">
        <v>1044</v>
      </c>
      <c r="E22" s="149" t="s">
        <v>32</v>
      </c>
      <c r="F22" s="149" t="s">
        <v>41</v>
      </c>
      <c r="G22" s="149" t="s">
        <v>41</v>
      </c>
      <c r="H22" s="149" t="s">
        <v>1052</v>
      </c>
      <c r="I22" s="150"/>
      <c r="J22" s="151">
        <v>581.83</v>
      </c>
      <c r="K22" s="151">
        <v>0.013153</v>
      </c>
    </row>
    <row r="23">
      <c r="A23" s="2">
        <v>17.0</v>
      </c>
      <c r="B23" s="168" t="s">
        <v>1043</v>
      </c>
      <c r="C23" s="149">
        <v>585.0</v>
      </c>
      <c r="D23" s="149" t="s">
        <v>1044</v>
      </c>
      <c r="E23" s="149" t="s">
        <v>32</v>
      </c>
      <c r="F23" s="149" t="s">
        <v>41</v>
      </c>
      <c r="G23" s="149" t="s">
        <v>41</v>
      </c>
      <c r="H23" s="149" t="s">
        <v>1053</v>
      </c>
      <c r="I23" s="150"/>
      <c r="J23" s="149">
        <v>776.27</v>
      </c>
      <c r="K23" s="149">
        <v>0.016431</v>
      </c>
    </row>
    <row r="24">
      <c r="A24" s="2">
        <v>18.0</v>
      </c>
      <c r="B24" s="168" t="s">
        <v>1035</v>
      </c>
      <c r="C24" s="149">
        <v>923.0</v>
      </c>
      <c r="D24" s="148" t="s">
        <v>777</v>
      </c>
      <c r="E24" s="149" t="s">
        <v>32</v>
      </c>
      <c r="F24" s="149" t="s">
        <v>32</v>
      </c>
      <c r="G24" s="149" t="s">
        <v>41</v>
      </c>
      <c r="H24" s="149" t="s">
        <v>1054</v>
      </c>
      <c r="I24" s="150"/>
      <c r="J24" s="149">
        <v>969.25</v>
      </c>
      <c r="K24" s="149">
        <v>0.015061</v>
      </c>
    </row>
    <row r="25">
      <c r="A25" s="2">
        <v>19.0</v>
      </c>
      <c r="B25" s="168" t="s">
        <v>1035</v>
      </c>
      <c r="C25" s="149">
        <v>91.0</v>
      </c>
      <c r="D25" s="148" t="s">
        <v>777</v>
      </c>
      <c r="E25" s="149" t="s">
        <v>32</v>
      </c>
      <c r="F25" s="149" t="s">
        <v>41</v>
      </c>
      <c r="G25" s="149" t="s">
        <v>41</v>
      </c>
      <c r="H25" s="149" t="s">
        <v>1056</v>
      </c>
      <c r="I25" s="150"/>
      <c r="J25" s="149">
        <v>865.2</v>
      </c>
      <c r="K25" s="149">
        <v>0.021083</v>
      </c>
    </row>
    <row r="26">
      <c r="A26" s="2">
        <v>20.0</v>
      </c>
      <c r="B26" s="168" t="s">
        <v>1035</v>
      </c>
      <c r="C26" s="149">
        <v>441.0</v>
      </c>
      <c r="D26" s="148" t="s">
        <v>777</v>
      </c>
      <c r="E26" s="149" t="s">
        <v>32</v>
      </c>
      <c r="F26" s="149" t="s">
        <v>41</v>
      </c>
      <c r="G26" s="149" t="s">
        <v>41</v>
      </c>
      <c r="H26" s="149" t="s">
        <v>1058</v>
      </c>
      <c r="I26" s="150"/>
      <c r="J26" s="149">
        <v>616.38</v>
      </c>
      <c r="K26" s="149">
        <v>0.010423</v>
      </c>
    </row>
    <row r="27">
      <c r="A27" s="2">
        <v>21.0</v>
      </c>
      <c r="B27" s="168" t="s">
        <v>1035</v>
      </c>
      <c r="C27" s="149">
        <v>513.0</v>
      </c>
      <c r="D27" s="148" t="s">
        <v>777</v>
      </c>
      <c r="E27" s="149" t="s">
        <v>32</v>
      </c>
      <c r="F27" s="149" t="s">
        <v>41</v>
      </c>
      <c r="G27" s="149" t="s">
        <v>41</v>
      </c>
      <c r="H27" s="149" t="s">
        <v>1059</v>
      </c>
      <c r="I27" s="150"/>
      <c r="J27" s="149">
        <v>786.28</v>
      </c>
      <c r="K27" s="149">
        <v>0.020829</v>
      </c>
    </row>
    <row r="28">
      <c r="A28" s="2">
        <v>22.0</v>
      </c>
      <c r="B28" s="170" t="s">
        <v>1035</v>
      </c>
      <c r="C28" s="171">
        <v>1129.0</v>
      </c>
      <c r="D28" s="172" t="s">
        <v>777</v>
      </c>
      <c r="E28" s="149" t="s">
        <v>32</v>
      </c>
      <c r="F28" s="149" t="s">
        <v>41</v>
      </c>
      <c r="G28" s="149" t="s">
        <v>41</v>
      </c>
      <c r="H28" s="149" t="s">
        <v>1060</v>
      </c>
      <c r="I28" s="150"/>
      <c r="J28" s="149">
        <v>1037.08</v>
      </c>
      <c r="K28" s="149">
        <v>0.028044</v>
      </c>
    </row>
    <row r="29">
      <c r="A29" s="2">
        <v>23.0</v>
      </c>
      <c r="B29" s="170" t="s">
        <v>1035</v>
      </c>
      <c r="C29" s="171">
        <v>768.0</v>
      </c>
      <c r="D29" s="172" t="s">
        <v>777</v>
      </c>
      <c r="E29" s="149" t="s">
        <v>32</v>
      </c>
      <c r="F29" s="149" t="s">
        <v>41</v>
      </c>
      <c r="G29" s="149" t="s">
        <v>41</v>
      </c>
      <c r="H29" s="149" t="s">
        <v>1062</v>
      </c>
      <c r="I29" s="150"/>
      <c r="J29" s="149">
        <v>871.22</v>
      </c>
      <c r="K29" s="149">
        <v>0.024735</v>
      </c>
    </row>
    <row r="30">
      <c r="A30" s="2">
        <v>24.0</v>
      </c>
      <c r="B30" s="168" t="s">
        <v>128</v>
      </c>
      <c r="C30" s="149">
        <v>1437.0</v>
      </c>
      <c r="D30" s="148" t="s">
        <v>777</v>
      </c>
      <c r="E30" s="149" t="s">
        <v>32</v>
      </c>
      <c r="F30" s="149" t="s">
        <v>32</v>
      </c>
      <c r="G30" s="149" t="s">
        <v>41</v>
      </c>
      <c r="H30" s="149" t="s">
        <v>1063</v>
      </c>
      <c r="I30" s="150"/>
      <c r="J30" s="149">
        <v>1952.49</v>
      </c>
      <c r="K30" s="149">
        <v>0.038684</v>
      </c>
    </row>
    <row r="31">
      <c r="A31" s="2">
        <v>25.0</v>
      </c>
      <c r="B31" s="168" t="s">
        <v>128</v>
      </c>
      <c r="C31" s="149">
        <v>1439.0</v>
      </c>
      <c r="D31" s="148" t="s">
        <v>777</v>
      </c>
      <c r="E31" s="149" t="s">
        <v>32</v>
      </c>
      <c r="F31" s="149" t="s">
        <v>32</v>
      </c>
      <c r="G31" s="149" t="s">
        <v>41</v>
      </c>
      <c r="H31" s="149" t="s">
        <v>1031</v>
      </c>
      <c r="I31" s="150"/>
      <c r="J31" s="149">
        <v>1378.92</v>
      </c>
      <c r="K31" s="149">
        <v>0.007076</v>
      </c>
    </row>
    <row r="32">
      <c r="A32" s="2">
        <v>26.0</v>
      </c>
      <c r="B32" s="168" t="s">
        <v>128</v>
      </c>
      <c r="C32" s="149">
        <v>1445.0</v>
      </c>
      <c r="D32" s="148" t="s">
        <v>777</v>
      </c>
      <c r="E32" s="149" t="s">
        <v>32</v>
      </c>
      <c r="F32" s="149" t="s">
        <v>32</v>
      </c>
      <c r="G32" s="149" t="s">
        <v>41</v>
      </c>
      <c r="H32" s="149" t="s">
        <v>1063</v>
      </c>
      <c r="I32" s="150"/>
      <c r="J32" s="149">
        <v>1074.45</v>
      </c>
      <c r="K32" s="149">
        <v>0.018823</v>
      </c>
    </row>
    <row r="33">
      <c r="A33" s="2">
        <v>27.0</v>
      </c>
      <c r="B33" s="170" t="s">
        <v>1035</v>
      </c>
      <c r="C33" s="171">
        <v>974.0</v>
      </c>
      <c r="D33" s="172" t="s">
        <v>777</v>
      </c>
      <c r="E33" s="149" t="s">
        <v>32</v>
      </c>
      <c r="F33" s="149" t="s">
        <v>41</v>
      </c>
      <c r="G33" s="149" t="s">
        <v>41</v>
      </c>
      <c r="H33" s="149" t="s">
        <v>1066</v>
      </c>
      <c r="I33" s="150"/>
      <c r="J33" s="149">
        <v>900.52</v>
      </c>
      <c r="K33" s="149">
        <v>0.017376</v>
      </c>
    </row>
    <row r="34">
      <c r="A34" s="2">
        <v>28.0</v>
      </c>
      <c r="B34" s="170" t="s">
        <v>1035</v>
      </c>
      <c r="C34" s="171">
        <v>1037.0</v>
      </c>
      <c r="D34" s="172" t="s">
        <v>777</v>
      </c>
      <c r="E34" s="149" t="s">
        <v>32</v>
      </c>
      <c r="F34" s="149" t="s">
        <v>41</v>
      </c>
      <c r="G34" s="149" t="s">
        <v>41</v>
      </c>
      <c r="H34" s="149" t="s">
        <v>1069</v>
      </c>
      <c r="I34" s="150"/>
      <c r="J34" s="149">
        <v>991.42</v>
      </c>
      <c r="K34" s="149">
        <v>0.013277</v>
      </c>
    </row>
    <row r="35">
      <c r="A35" s="2">
        <v>29.0</v>
      </c>
      <c r="B35" s="168" t="s">
        <v>128</v>
      </c>
      <c r="C35" s="149">
        <v>1511.0</v>
      </c>
      <c r="D35" s="172" t="s">
        <v>777</v>
      </c>
      <c r="E35" s="149" t="s">
        <v>32</v>
      </c>
      <c r="F35" s="149" t="s">
        <v>41</v>
      </c>
      <c r="G35" s="149" t="s">
        <v>41</v>
      </c>
      <c r="H35" s="149" t="s">
        <v>1072</v>
      </c>
      <c r="I35" s="150"/>
      <c r="J35" s="149">
        <v>1044.9</v>
      </c>
      <c r="K35" s="149">
        <v>0.024469</v>
      </c>
    </row>
    <row r="36">
      <c r="A36" s="2">
        <v>30.0</v>
      </c>
      <c r="B36" s="168" t="s">
        <v>187</v>
      </c>
      <c r="C36" s="149">
        <v>1886.0</v>
      </c>
      <c r="D36" s="172" t="s">
        <v>777</v>
      </c>
      <c r="E36" s="149" t="s">
        <v>32</v>
      </c>
      <c r="F36" s="149" t="s">
        <v>41</v>
      </c>
      <c r="G36" s="149" t="s">
        <v>41</v>
      </c>
      <c r="H36" s="149" t="s">
        <v>1073</v>
      </c>
      <c r="I36" s="150"/>
      <c r="J36" s="149">
        <v>497.88</v>
      </c>
      <c r="K36" s="149">
        <v>0.013576</v>
      </c>
    </row>
    <row r="37">
      <c r="A37" s="2">
        <v>31.0</v>
      </c>
      <c r="B37" s="168" t="s">
        <v>167</v>
      </c>
      <c r="C37" s="149">
        <v>942.0</v>
      </c>
      <c r="D37" s="172" t="s">
        <v>777</v>
      </c>
      <c r="E37" s="149" t="s">
        <v>32</v>
      </c>
      <c r="F37" s="149" t="s">
        <v>41</v>
      </c>
      <c r="G37" s="149" t="s">
        <v>41</v>
      </c>
      <c r="H37" s="149" t="s">
        <v>1075</v>
      </c>
      <c r="I37" s="150"/>
      <c r="J37" s="149">
        <v>1082.03</v>
      </c>
      <c r="K37" s="149">
        <v>0.026384</v>
      </c>
    </row>
    <row r="38">
      <c r="A38" s="2">
        <v>32.0</v>
      </c>
      <c r="B38" s="168" t="s">
        <v>167</v>
      </c>
      <c r="C38" s="149">
        <v>1887.0</v>
      </c>
      <c r="D38" s="172" t="s">
        <v>777</v>
      </c>
      <c r="E38" s="149" t="s">
        <v>32</v>
      </c>
      <c r="F38" s="149" t="s">
        <v>41</v>
      </c>
      <c r="G38" s="149" t="s">
        <v>41</v>
      </c>
      <c r="H38" s="149" t="s">
        <v>1077</v>
      </c>
      <c r="I38" s="150"/>
      <c r="J38" s="149">
        <v>639.31</v>
      </c>
      <c r="K38" s="149">
        <v>0.013815</v>
      </c>
    </row>
    <row r="39">
      <c r="A39" s="2">
        <v>33.0</v>
      </c>
      <c r="B39" s="168" t="s">
        <v>167</v>
      </c>
      <c r="C39" s="149">
        <v>2390.0</v>
      </c>
      <c r="D39" s="172" t="s">
        <v>777</v>
      </c>
      <c r="E39" s="149" t="s">
        <v>32</v>
      </c>
      <c r="F39" s="149" t="s">
        <v>41</v>
      </c>
      <c r="G39" s="149" t="s">
        <v>41</v>
      </c>
      <c r="H39" s="149" t="s">
        <v>1079</v>
      </c>
      <c r="I39" s="150"/>
      <c r="J39" s="149">
        <v>648.64</v>
      </c>
      <c r="K39" s="149">
        <v>0.0153</v>
      </c>
    </row>
    <row r="40">
      <c r="A40" s="2">
        <v>34.0</v>
      </c>
      <c r="B40" s="170" t="s">
        <v>167</v>
      </c>
      <c r="C40" s="171">
        <v>2871.0</v>
      </c>
      <c r="D40" s="172" t="s">
        <v>777</v>
      </c>
      <c r="E40" s="149" t="s">
        <v>32</v>
      </c>
      <c r="F40" s="149" t="s">
        <v>41</v>
      </c>
      <c r="G40" s="149" t="s">
        <v>41</v>
      </c>
      <c r="H40" s="149" t="s">
        <v>1081</v>
      </c>
      <c r="I40" s="150"/>
      <c r="J40" s="149">
        <v>1157.59</v>
      </c>
      <c r="K40" s="149">
        <v>0.0239</v>
      </c>
    </row>
    <row r="41">
      <c r="A41" s="2">
        <v>35.0</v>
      </c>
      <c r="B41" s="170" t="s">
        <v>167</v>
      </c>
      <c r="C41" s="171">
        <v>3979.0</v>
      </c>
      <c r="D41" s="172" t="s">
        <v>777</v>
      </c>
      <c r="E41" s="149" t="s">
        <v>32</v>
      </c>
      <c r="F41" s="149" t="s">
        <v>41</v>
      </c>
      <c r="G41" s="149" t="s">
        <v>41</v>
      </c>
      <c r="H41" s="149" t="s">
        <v>1082</v>
      </c>
      <c r="I41" s="150"/>
      <c r="J41" s="149">
        <v>1304.62</v>
      </c>
      <c r="K41" s="149">
        <v>0.033505</v>
      </c>
    </row>
    <row r="42">
      <c r="A42" s="2">
        <v>36.0</v>
      </c>
      <c r="B42" s="173" t="s">
        <v>139</v>
      </c>
      <c r="C42" s="171">
        <v>6212.0</v>
      </c>
      <c r="D42" s="171" t="s">
        <v>1084</v>
      </c>
      <c r="E42" s="149" t="s">
        <v>32</v>
      </c>
      <c r="F42" s="149" t="s">
        <v>41</v>
      </c>
      <c r="G42" s="149" t="s">
        <v>41</v>
      </c>
      <c r="H42" s="149" t="s">
        <v>1085</v>
      </c>
      <c r="I42" s="150"/>
      <c r="J42" s="149">
        <v>754.46</v>
      </c>
      <c r="K42" s="149">
        <v>0.01689</v>
      </c>
    </row>
    <row r="43">
      <c r="A43" s="2">
        <v>37.0</v>
      </c>
      <c r="B43" s="173" t="s">
        <v>139</v>
      </c>
      <c r="C43" s="171">
        <v>6225.0</v>
      </c>
      <c r="D43" s="171" t="s">
        <v>1084</v>
      </c>
      <c r="E43" s="149" t="s">
        <v>32</v>
      </c>
      <c r="F43" s="149" t="s">
        <v>41</v>
      </c>
      <c r="G43" s="149" t="s">
        <v>41</v>
      </c>
      <c r="H43" s="149" t="s">
        <v>1087</v>
      </c>
      <c r="I43" s="150"/>
      <c r="J43" s="149">
        <v>567.76</v>
      </c>
      <c r="K43" s="149">
        <v>0.007205</v>
      </c>
    </row>
    <row r="44">
      <c r="A44" s="2">
        <v>38.0</v>
      </c>
      <c r="B44" s="173" t="s">
        <v>139</v>
      </c>
      <c r="C44" s="171">
        <v>6271.0</v>
      </c>
      <c r="D44" s="171" t="s">
        <v>1084</v>
      </c>
      <c r="E44" s="149" t="s">
        <v>41</v>
      </c>
      <c r="F44" s="149" t="s">
        <v>41</v>
      </c>
      <c r="G44" s="149" t="s">
        <v>41</v>
      </c>
      <c r="H44" s="149" t="s">
        <v>1088</v>
      </c>
      <c r="I44" s="150"/>
      <c r="J44" s="149">
        <v>237.01</v>
      </c>
      <c r="K44" s="149">
        <v>0.007727</v>
      </c>
    </row>
    <row r="45">
      <c r="A45" s="2">
        <v>39.0</v>
      </c>
      <c r="B45" s="173" t="s">
        <v>139</v>
      </c>
      <c r="C45" s="171">
        <v>6302.0</v>
      </c>
      <c r="D45" s="171" t="s">
        <v>1084</v>
      </c>
      <c r="E45" s="149" t="s">
        <v>32</v>
      </c>
      <c r="F45" s="149" t="s">
        <v>41</v>
      </c>
      <c r="G45" s="149" t="s">
        <v>41</v>
      </c>
      <c r="H45" s="149" t="s">
        <v>1091</v>
      </c>
      <c r="I45" s="150"/>
      <c r="J45" s="149">
        <v>931.03</v>
      </c>
      <c r="K45" s="149">
        <v>0.012342</v>
      </c>
    </row>
    <row r="46">
      <c r="A46" s="2">
        <v>40.0</v>
      </c>
      <c r="B46" s="173" t="s">
        <v>139</v>
      </c>
      <c r="C46" s="171">
        <v>6321.0</v>
      </c>
      <c r="D46" s="171" t="s">
        <v>1084</v>
      </c>
      <c r="E46" s="149" t="s">
        <v>41</v>
      </c>
      <c r="F46" s="149" t="s">
        <v>41</v>
      </c>
      <c r="G46" s="149" t="s">
        <v>41</v>
      </c>
      <c r="H46" s="149" t="s">
        <v>1093</v>
      </c>
      <c r="I46" s="150"/>
      <c r="J46" s="149">
        <v>437.7</v>
      </c>
      <c r="K46" s="149">
        <v>0.005812</v>
      </c>
    </row>
    <row r="48">
      <c r="J48" s="15">
        <f t="shared" ref="J48:K48" si="1">SUM(J2:J46)</f>
        <v>36684.26</v>
      </c>
      <c r="K48" s="15">
        <f t="shared" si="1"/>
        <v>0.663851</v>
      </c>
    </row>
    <row r="49">
      <c r="B49" s="174" t="s">
        <v>1096</v>
      </c>
      <c r="C49" s="63"/>
      <c r="J49" s="15">
        <f t="shared" ref="J49:K49" si="2">J48/40</f>
        <v>917.1065</v>
      </c>
      <c r="K49" s="15">
        <f t="shared" si="2"/>
        <v>0.016596275</v>
      </c>
    </row>
    <row r="50">
      <c r="B50" s="5" t="s">
        <v>1099</v>
      </c>
      <c r="C50" s="63">
        <f t="array" ref="C50">COUNTA(UNIQUE(B2:B46))-3</f>
        <v>10</v>
      </c>
    </row>
    <row r="51">
      <c r="B51" s="5" t="s">
        <v>103</v>
      </c>
      <c r="C51" s="63">
        <f>COUNTA(B2:B46)-5</f>
        <v>40</v>
      </c>
      <c r="J51" s="2" t="s">
        <v>1103</v>
      </c>
    </row>
    <row r="52">
      <c r="B52" s="5" t="s">
        <v>1014</v>
      </c>
      <c r="C52" s="63">
        <f>COUNTIF(E2:E46, "Y")</f>
        <v>38</v>
      </c>
      <c r="D52" s="51"/>
    </row>
    <row r="53">
      <c r="B53" s="5" t="s">
        <v>1105</v>
      </c>
      <c r="C53" s="63">
        <f>COUNTIF(F2:F46, "Y")</f>
        <v>15</v>
      </c>
      <c r="D53" s="51"/>
    </row>
    <row r="54">
      <c r="B54" s="5" t="s">
        <v>1016</v>
      </c>
      <c r="C54" s="63">
        <f>COUNTIF(G2:G41, "Y")</f>
        <v>5</v>
      </c>
      <c r="D54" s="51"/>
    </row>
    <row r="59">
      <c r="G59" s="5"/>
    </row>
    <row r="64">
      <c r="B64" s="2" t="s">
        <v>1111</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34.5"/>
    <col customWidth="1" min="8" max="8" width="69.88"/>
  </cols>
  <sheetData>
    <row r="1">
      <c r="A1" s="5" t="s">
        <v>12</v>
      </c>
      <c r="B1" s="5" t="s">
        <v>1009</v>
      </c>
      <c r="C1" s="5" t="s">
        <v>1010</v>
      </c>
      <c r="D1" s="5" t="s">
        <v>744</v>
      </c>
      <c r="E1" s="5" t="s">
        <v>1014</v>
      </c>
      <c r="F1" s="5" t="s">
        <v>1015</v>
      </c>
      <c r="G1" s="5" t="s">
        <v>1016</v>
      </c>
      <c r="H1" s="5" t="s">
        <v>1011</v>
      </c>
      <c r="I1" s="5" t="s">
        <v>1017</v>
      </c>
      <c r="J1" s="2" t="s">
        <v>996</v>
      </c>
      <c r="K1" s="2" t="s">
        <v>1018</v>
      </c>
    </row>
    <row r="2">
      <c r="A2" s="2">
        <v>1.0</v>
      </c>
      <c r="B2" s="146" t="s">
        <v>174</v>
      </c>
      <c r="C2" s="147">
        <v>273.0</v>
      </c>
      <c r="D2" s="148" t="s">
        <v>777</v>
      </c>
      <c r="E2" s="149" t="s">
        <v>32</v>
      </c>
      <c r="F2" s="149" t="s">
        <v>32</v>
      </c>
      <c r="G2" s="149" t="s">
        <v>32</v>
      </c>
      <c r="H2" s="149" t="s">
        <v>1029</v>
      </c>
      <c r="I2" s="150"/>
      <c r="J2" s="151">
        <v>841.2</v>
      </c>
      <c r="K2" s="151">
        <v>2.15151</v>
      </c>
    </row>
    <row r="3">
      <c r="A3" s="167">
        <v>2.0</v>
      </c>
      <c r="B3" s="167" t="s">
        <v>112</v>
      </c>
      <c r="C3" s="154">
        <v>209.0</v>
      </c>
      <c r="D3" s="155" t="s">
        <v>777</v>
      </c>
      <c r="E3" s="155" t="s">
        <v>32</v>
      </c>
      <c r="F3" s="155" t="s">
        <v>41</v>
      </c>
      <c r="G3" s="155" t="s">
        <v>41</v>
      </c>
      <c r="H3" s="155" t="s">
        <v>1032</v>
      </c>
      <c r="I3" s="156"/>
      <c r="J3" s="156">
        <v>3723.62</v>
      </c>
      <c r="K3" s="156">
        <v>0.021985</v>
      </c>
    </row>
    <row r="4">
      <c r="A4" s="2">
        <v>3.0</v>
      </c>
      <c r="B4" s="146" t="s">
        <v>174</v>
      </c>
      <c r="C4" s="149">
        <v>56.0</v>
      </c>
      <c r="D4" s="148" t="s">
        <v>777</v>
      </c>
      <c r="E4" s="149" t="s">
        <v>32</v>
      </c>
      <c r="F4" s="149" t="s">
        <v>41</v>
      </c>
      <c r="G4" s="162" t="s">
        <v>41</v>
      </c>
      <c r="H4" s="150"/>
      <c r="I4" s="150"/>
      <c r="J4" s="149">
        <v>852.13</v>
      </c>
      <c r="K4" s="151">
        <v>0.00524</v>
      </c>
    </row>
    <row r="5">
      <c r="A5" s="2">
        <v>4.0</v>
      </c>
      <c r="B5" s="146" t="s">
        <v>174</v>
      </c>
      <c r="C5" s="149">
        <v>71.0</v>
      </c>
      <c r="D5" s="148" t="s">
        <v>777</v>
      </c>
      <c r="E5" s="149" t="s">
        <v>32</v>
      </c>
      <c r="F5" s="149" t="s">
        <v>41</v>
      </c>
      <c r="G5" s="149" t="s">
        <v>41</v>
      </c>
      <c r="H5" s="149" t="s">
        <v>1037</v>
      </c>
      <c r="I5" s="150"/>
      <c r="J5" s="149">
        <v>92.51</v>
      </c>
      <c r="K5" s="149">
        <v>2.77E-4</v>
      </c>
    </row>
    <row r="6">
      <c r="A6" s="2">
        <v>5.0</v>
      </c>
      <c r="B6" s="2" t="s">
        <v>112</v>
      </c>
      <c r="C6" s="149">
        <v>83.0</v>
      </c>
      <c r="D6" s="149" t="s">
        <v>777</v>
      </c>
      <c r="E6" s="149" t="s">
        <v>32</v>
      </c>
      <c r="F6" s="149" t="s">
        <v>41</v>
      </c>
      <c r="G6" s="149" t="s">
        <v>41</v>
      </c>
      <c r="H6" s="149" t="s">
        <v>1041</v>
      </c>
      <c r="I6" s="150"/>
      <c r="J6" s="149">
        <v>1161.74</v>
      </c>
      <c r="K6" s="149">
        <v>0.012144</v>
      </c>
    </row>
    <row r="7">
      <c r="A7" s="167">
        <v>6.0</v>
      </c>
      <c r="B7" s="146" t="s">
        <v>174</v>
      </c>
      <c r="C7" s="149">
        <v>121.0</v>
      </c>
      <c r="D7" s="148" t="s">
        <v>777</v>
      </c>
      <c r="E7" s="149" t="s">
        <v>32</v>
      </c>
      <c r="F7" s="149" t="s">
        <v>32</v>
      </c>
      <c r="G7" s="149" t="s">
        <v>32</v>
      </c>
      <c r="H7" s="150"/>
      <c r="I7" s="150"/>
      <c r="J7" s="149">
        <v>1332.6</v>
      </c>
      <c r="K7" s="149">
        <v>0.062477</v>
      </c>
    </row>
    <row r="8">
      <c r="A8" s="2">
        <v>7.0</v>
      </c>
      <c r="B8" s="2" t="s">
        <v>112</v>
      </c>
      <c r="C8" s="149">
        <v>149.0</v>
      </c>
      <c r="D8" s="148" t="s">
        <v>777</v>
      </c>
      <c r="E8" s="149" t="s">
        <v>32</v>
      </c>
      <c r="F8" s="149" t="s">
        <v>41</v>
      </c>
      <c r="G8" s="149" t="s">
        <v>41</v>
      </c>
      <c r="H8" s="149" t="s">
        <v>1045</v>
      </c>
      <c r="I8" s="150"/>
      <c r="J8" s="149">
        <v>664.96</v>
      </c>
      <c r="K8" s="149">
        <v>0.01195</v>
      </c>
    </row>
    <row r="9">
      <c r="A9" s="2">
        <v>8.0</v>
      </c>
      <c r="B9" s="146" t="s">
        <v>174</v>
      </c>
      <c r="C9" s="149">
        <v>174.0</v>
      </c>
      <c r="D9" s="148" t="s">
        <v>777</v>
      </c>
      <c r="E9" s="149" t="s">
        <v>32</v>
      </c>
      <c r="F9" s="149" t="s">
        <v>32</v>
      </c>
      <c r="G9" s="149" t="s">
        <v>32</v>
      </c>
      <c r="H9" s="149"/>
      <c r="I9" s="150"/>
      <c r="J9" s="149">
        <v>834.87</v>
      </c>
      <c r="K9" s="149">
        <v>9.8E-4</v>
      </c>
    </row>
    <row r="10">
      <c r="A10" s="2">
        <v>9.0</v>
      </c>
      <c r="B10" s="168" t="s">
        <v>128</v>
      </c>
      <c r="C10" s="149">
        <v>793.0</v>
      </c>
      <c r="D10" s="148" t="s">
        <v>777</v>
      </c>
      <c r="E10" s="149" t="s">
        <v>32</v>
      </c>
      <c r="F10" s="149" t="s">
        <v>41</v>
      </c>
      <c r="G10" s="149" t="s">
        <v>41</v>
      </c>
      <c r="H10" s="149" t="s">
        <v>1048</v>
      </c>
      <c r="I10" s="150"/>
      <c r="J10" s="151">
        <v>1501.01</v>
      </c>
      <c r="K10" s="151">
        <v>0.00677</v>
      </c>
    </row>
    <row r="11">
      <c r="A11" s="167">
        <v>10.0</v>
      </c>
      <c r="B11" s="168" t="s">
        <v>1035</v>
      </c>
      <c r="C11" s="149">
        <v>411.0</v>
      </c>
      <c r="D11" s="148" t="s">
        <v>777</v>
      </c>
      <c r="E11" s="149" t="s">
        <v>32</v>
      </c>
      <c r="F11" s="149" t="s">
        <v>41</v>
      </c>
      <c r="G11" s="162" t="s">
        <v>41</v>
      </c>
      <c r="H11" s="149" t="s">
        <v>1051</v>
      </c>
      <c r="I11" s="150"/>
      <c r="J11" s="151">
        <v>1278.94</v>
      </c>
      <c r="K11" s="151">
        <v>0.011253</v>
      </c>
    </row>
    <row r="12">
      <c r="A12" s="2">
        <v>11.0</v>
      </c>
      <c r="B12" s="168" t="s">
        <v>1040</v>
      </c>
      <c r="C12" s="149">
        <v>313.0</v>
      </c>
      <c r="D12" s="148" t="s">
        <v>777</v>
      </c>
      <c r="E12" s="149" t="s">
        <v>32</v>
      </c>
      <c r="F12" s="149" t="s">
        <v>32</v>
      </c>
      <c r="G12" s="149" t="s">
        <v>32</v>
      </c>
      <c r="H12" s="149"/>
      <c r="I12" s="150"/>
      <c r="J12" s="169">
        <v>883.44</v>
      </c>
      <c r="K12" s="151">
        <v>0.002516</v>
      </c>
    </row>
    <row r="13">
      <c r="A13" s="2">
        <v>12.0</v>
      </c>
      <c r="B13" s="168" t="s">
        <v>118</v>
      </c>
      <c r="C13" s="149">
        <v>87.0</v>
      </c>
      <c r="D13" s="149" t="s">
        <v>786</v>
      </c>
      <c r="E13" s="149" t="s">
        <v>32</v>
      </c>
      <c r="F13" s="149" t="s">
        <v>41</v>
      </c>
      <c r="G13" s="149" t="s">
        <v>41</v>
      </c>
      <c r="H13" s="149" t="s">
        <v>1055</v>
      </c>
      <c r="I13" s="150"/>
      <c r="J13" s="149">
        <v>1181.14</v>
      </c>
      <c r="K13" s="149">
        <v>0.00586</v>
      </c>
    </row>
    <row r="14">
      <c r="A14" s="2">
        <v>13.0</v>
      </c>
      <c r="B14" s="168" t="s">
        <v>1043</v>
      </c>
      <c r="C14" s="149">
        <v>434.0</v>
      </c>
      <c r="D14" s="149" t="s">
        <v>1044</v>
      </c>
      <c r="E14" s="149" t="s">
        <v>32</v>
      </c>
      <c r="F14" s="149" t="s">
        <v>41</v>
      </c>
      <c r="G14" s="149" t="s">
        <v>41</v>
      </c>
      <c r="H14" s="149" t="s">
        <v>1057</v>
      </c>
      <c r="I14" s="150"/>
      <c r="J14" s="149">
        <v>533.33</v>
      </c>
      <c r="K14" s="149">
        <v>0.002904</v>
      </c>
    </row>
    <row r="15">
      <c r="A15" s="167">
        <v>14.0</v>
      </c>
      <c r="B15" s="168" t="s">
        <v>1035</v>
      </c>
      <c r="C15" s="149">
        <v>71.0</v>
      </c>
      <c r="D15" s="148" t="s">
        <v>777</v>
      </c>
      <c r="E15" s="149" t="s">
        <v>32</v>
      </c>
      <c r="F15" s="149" t="s">
        <v>32</v>
      </c>
      <c r="G15" s="149" t="s">
        <v>32</v>
      </c>
      <c r="H15" s="149"/>
      <c r="I15" s="150"/>
      <c r="J15" s="151">
        <v>409.77</v>
      </c>
      <c r="K15" s="151">
        <v>0.015462</v>
      </c>
    </row>
    <row r="16">
      <c r="A16" s="2">
        <v>15.0</v>
      </c>
      <c r="B16" s="168" t="s">
        <v>1040</v>
      </c>
      <c r="C16" s="149">
        <v>256.0</v>
      </c>
      <c r="D16" s="148" t="s">
        <v>777</v>
      </c>
      <c r="E16" s="149" t="s">
        <v>32</v>
      </c>
      <c r="F16" s="149" t="s">
        <v>32</v>
      </c>
      <c r="G16" s="149" t="s">
        <v>32</v>
      </c>
      <c r="H16" s="149"/>
      <c r="I16" s="150"/>
      <c r="J16" s="151">
        <v>951.13</v>
      </c>
      <c r="K16" s="151">
        <v>0.012965</v>
      </c>
    </row>
    <row r="17">
      <c r="A17" s="2">
        <v>16.0</v>
      </c>
      <c r="B17" s="168" t="s">
        <v>1043</v>
      </c>
      <c r="C17" s="149">
        <v>538.0</v>
      </c>
      <c r="D17" s="149" t="s">
        <v>1044</v>
      </c>
      <c r="E17" s="149" t="s">
        <v>41</v>
      </c>
      <c r="F17" s="149" t="s">
        <v>41</v>
      </c>
      <c r="G17" s="149" t="s">
        <v>41</v>
      </c>
      <c r="H17" s="149" t="s">
        <v>1061</v>
      </c>
      <c r="I17" s="150"/>
      <c r="J17" s="149">
        <v>403.67</v>
      </c>
      <c r="K17" s="149">
        <v>0.003979</v>
      </c>
    </row>
    <row r="18">
      <c r="A18" s="2">
        <v>17.0</v>
      </c>
      <c r="B18" s="168" t="s">
        <v>1043</v>
      </c>
      <c r="C18" s="149">
        <v>585.0</v>
      </c>
      <c r="D18" s="149" t="s">
        <v>1044</v>
      </c>
      <c r="E18" s="149" t="s">
        <v>41</v>
      </c>
      <c r="F18" s="149" t="s">
        <v>41</v>
      </c>
      <c r="G18" s="149" t="s">
        <v>41</v>
      </c>
      <c r="H18" s="149" t="s">
        <v>1061</v>
      </c>
      <c r="I18" s="150"/>
      <c r="J18" s="149">
        <v>379.23</v>
      </c>
      <c r="K18" s="149">
        <v>5.49E-4</v>
      </c>
    </row>
    <row r="19">
      <c r="A19" s="167">
        <v>18.0</v>
      </c>
      <c r="B19" s="168" t="s">
        <v>1035</v>
      </c>
      <c r="C19" s="149">
        <v>923.0</v>
      </c>
      <c r="D19" s="148" t="s">
        <v>777</v>
      </c>
      <c r="E19" s="149" t="s">
        <v>32</v>
      </c>
      <c r="F19" s="149" t="s">
        <v>41</v>
      </c>
      <c r="G19" s="149" t="s">
        <v>41</v>
      </c>
      <c r="H19" s="149" t="s">
        <v>1064</v>
      </c>
      <c r="I19" s="150"/>
      <c r="J19" s="149">
        <v>1211.55</v>
      </c>
      <c r="K19" s="149">
        <v>0.006221</v>
      </c>
    </row>
    <row r="20">
      <c r="A20" s="2">
        <v>19.0</v>
      </c>
      <c r="B20" s="168" t="s">
        <v>1035</v>
      </c>
      <c r="C20" s="149">
        <v>91.0</v>
      </c>
      <c r="D20" s="148" t="s">
        <v>777</v>
      </c>
      <c r="E20" s="149" t="s">
        <v>32</v>
      </c>
      <c r="F20" s="149" t="s">
        <v>41</v>
      </c>
      <c r="G20" s="149" t="s">
        <v>41</v>
      </c>
      <c r="H20" s="149" t="s">
        <v>1065</v>
      </c>
      <c r="I20" s="150"/>
      <c r="J20" s="149">
        <v>1583.62</v>
      </c>
      <c r="K20" s="149">
        <v>0.014983</v>
      </c>
    </row>
    <row r="21">
      <c r="A21" s="2">
        <v>20.0</v>
      </c>
      <c r="B21" s="168" t="s">
        <v>1035</v>
      </c>
      <c r="C21" s="149">
        <v>441.0</v>
      </c>
      <c r="D21" s="148" t="s">
        <v>777</v>
      </c>
      <c r="E21" s="149" t="s">
        <v>32</v>
      </c>
      <c r="F21" s="149" t="s">
        <v>41</v>
      </c>
      <c r="G21" s="149" t="s">
        <v>41</v>
      </c>
      <c r="H21" s="149" t="s">
        <v>1067</v>
      </c>
      <c r="I21" s="150"/>
      <c r="J21" s="149">
        <v>1498.26</v>
      </c>
      <c r="K21" s="149">
        <v>0.014628</v>
      </c>
    </row>
    <row r="22">
      <c r="A22" s="2">
        <v>21.0</v>
      </c>
      <c r="B22" s="168" t="s">
        <v>1035</v>
      </c>
      <c r="C22" s="149">
        <v>513.0</v>
      </c>
      <c r="D22" s="148" t="s">
        <v>777</v>
      </c>
      <c r="E22" s="149" t="s">
        <v>32</v>
      </c>
      <c r="F22" s="149" t="s">
        <v>32</v>
      </c>
      <c r="G22" s="149" t="s">
        <v>41</v>
      </c>
      <c r="H22" s="149" t="s">
        <v>1070</v>
      </c>
      <c r="I22" s="150"/>
      <c r="J22" s="149">
        <v>605.53</v>
      </c>
      <c r="K22" s="149">
        <v>0.011726</v>
      </c>
    </row>
    <row r="23">
      <c r="A23" s="167">
        <v>22.0</v>
      </c>
      <c r="B23" s="170" t="s">
        <v>1035</v>
      </c>
      <c r="C23" s="171">
        <v>1129.0</v>
      </c>
      <c r="D23" s="172" t="s">
        <v>777</v>
      </c>
      <c r="E23" s="149" t="s">
        <v>41</v>
      </c>
      <c r="F23" s="149" t="s">
        <v>41</v>
      </c>
      <c r="G23" s="149" t="s">
        <v>41</v>
      </c>
      <c r="H23" s="149" t="s">
        <v>1074</v>
      </c>
      <c r="I23" s="150"/>
      <c r="J23" s="149">
        <v>787.08</v>
      </c>
      <c r="K23" s="149">
        <v>0.011464</v>
      </c>
    </row>
    <row r="24">
      <c r="A24" s="2">
        <v>23.0</v>
      </c>
      <c r="B24" s="170" t="s">
        <v>1035</v>
      </c>
      <c r="C24" s="171">
        <v>768.0</v>
      </c>
      <c r="D24" s="172" t="s">
        <v>777</v>
      </c>
      <c r="E24" s="149" t="s">
        <v>32</v>
      </c>
      <c r="F24" s="149" t="s">
        <v>41</v>
      </c>
      <c r="G24" s="149" t="s">
        <v>41</v>
      </c>
      <c r="H24" s="149" t="s">
        <v>1076</v>
      </c>
      <c r="I24" s="150"/>
      <c r="J24" s="149">
        <v>1369.81</v>
      </c>
      <c r="K24" s="149">
        <v>0.008164</v>
      </c>
    </row>
    <row r="25">
      <c r="A25" s="2">
        <v>24.0</v>
      </c>
      <c r="B25" s="168" t="s">
        <v>128</v>
      </c>
      <c r="C25" s="149">
        <v>1437.0</v>
      </c>
      <c r="D25" s="148" t="s">
        <v>777</v>
      </c>
      <c r="E25" s="149" t="s">
        <v>32</v>
      </c>
      <c r="F25" s="149" t="s">
        <v>41</v>
      </c>
      <c r="G25" s="149" t="s">
        <v>41</v>
      </c>
      <c r="H25" s="149" t="s">
        <v>1078</v>
      </c>
      <c r="I25" s="150"/>
      <c r="J25" s="149">
        <v>1526.31</v>
      </c>
      <c r="K25" s="149">
        <v>0.013118</v>
      </c>
    </row>
    <row r="26">
      <c r="A26" s="2">
        <v>25.0</v>
      </c>
      <c r="B26" s="168" t="s">
        <v>128</v>
      </c>
      <c r="C26" s="149">
        <v>1439.0</v>
      </c>
      <c r="D26" s="148" t="s">
        <v>777</v>
      </c>
      <c r="E26" s="149" t="s">
        <v>41</v>
      </c>
      <c r="F26" s="149" t="s">
        <v>41</v>
      </c>
      <c r="G26" s="149" t="s">
        <v>41</v>
      </c>
      <c r="H26" s="149" t="s">
        <v>1080</v>
      </c>
      <c r="I26" s="150"/>
      <c r="J26" s="149">
        <v>1328.44</v>
      </c>
      <c r="K26" s="149">
        <v>0.0084</v>
      </c>
    </row>
    <row r="27">
      <c r="A27" s="167">
        <v>26.0</v>
      </c>
      <c r="B27" s="168" t="s">
        <v>128</v>
      </c>
      <c r="C27" s="149">
        <v>1445.0</v>
      </c>
      <c r="D27" s="148" t="s">
        <v>777</v>
      </c>
      <c r="E27" s="149" t="s">
        <v>41</v>
      </c>
      <c r="F27" s="149" t="s">
        <v>41</v>
      </c>
      <c r="G27" s="149" t="s">
        <v>41</v>
      </c>
      <c r="H27" s="149" t="s">
        <v>1083</v>
      </c>
      <c r="I27" s="150"/>
      <c r="J27" s="149">
        <v>853.95</v>
      </c>
      <c r="K27" s="149">
        <v>0.008984</v>
      </c>
    </row>
    <row r="28">
      <c r="A28" s="2">
        <v>27.0</v>
      </c>
      <c r="B28" s="170" t="s">
        <v>1035</v>
      </c>
      <c r="C28" s="171">
        <v>974.0</v>
      </c>
      <c r="D28" s="172" t="s">
        <v>777</v>
      </c>
      <c r="E28" s="149" t="s">
        <v>41</v>
      </c>
      <c r="F28" s="149" t="s">
        <v>41</v>
      </c>
      <c r="G28" s="149" t="s">
        <v>41</v>
      </c>
      <c r="H28" s="149" t="s">
        <v>1086</v>
      </c>
      <c r="I28" s="150"/>
      <c r="J28" s="149">
        <v>1403.24</v>
      </c>
      <c r="K28" s="149">
        <v>0.006598</v>
      </c>
    </row>
    <row r="29">
      <c r="A29" s="2">
        <v>28.0</v>
      </c>
      <c r="B29" s="170" t="s">
        <v>1035</v>
      </c>
      <c r="C29" s="171">
        <v>1037.0</v>
      </c>
      <c r="D29" s="172" t="s">
        <v>777</v>
      </c>
      <c r="E29" s="149" t="s">
        <v>41</v>
      </c>
      <c r="F29" s="149" t="s">
        <v>41</v>
      </c>
      <c r="G29" s="149" t="s">
        <v>41</v>
      </c>
      <c r="H29" s="149" t="s">
        <v>1090</v>
      </c>
      <c r="I29" s="150"/>
      <c r="J29" s="149">
        <v>1604.27</v>
      </c>
      <c r="K29" s="149">
        <v>0.004736</v>
      </c>
    </row>
    <row r="30">
      <c r="A30" s="2">
        <v>29.0</v>
      </c>
      <c r="B30" s="168" t="s">
        <v>128</v>
      </c>
      <c r="C30" s="149">
        <v>1511.0</v>
      </c>
      <c r="D30" s="172" t="s">
        <v>777</v>
      </c>
      <c r="E30" s="149" t="s">
        <v>41</v>
      </c>
      <c r="F30" s="149" t="s">
        <v>41</v>
      </c>
      <c r="G30" s="149" t="s">
        <v>41</v>
      </c>
      <c r="H30" s="149" t="s">
        <v>1094</v>
      </c>
      <c r="I30" s="150"/>
      <c r="J30" s="149">
        <v>82.8</v>
      </c>
      <c r="K30" s="149">
        <v>0.006533</v>
      </c>
    </row>
    <row r="31">
      <c r="A31" s="167">
        <v>30.0</v>
      </c>
      <c r="B31" s="168" t="s">
        <v>187</v>
      </c>
      <c r="C31" s="149">
        <v>1886.0</v>
      </c>
      <c r="D31" s="172" t="s">
        <v>777</v>
      </c>
      <c r="E31" s="149" t="s">
        <v>32</v>
      </c>
      <c r="F31" s="149" t="s">
        <v>41</v>
      </c>
      <c r="G31" s="149" t="s">
        <v>41</v>
      </c>
      <c r="H31" s="149" t="s">
        <v>1095</v>
      </c>
      <c r="I31" s="150"/>
      <c r="J31" s="149">
        <v>691.51</v>
      </c>
      <c r="K31" s="149">
        <v>0.015602</v>
      </c>
    </row>
    <row r="32">
      <c r="A32" s="2">
        <v>31.0</v>
      </c>
      <c r="B32" s="168" t="s">
        <v>167</v>
      </c>
      <c r="C32" s="149">
        <v>942.0</v>
      </c>
      <c r="D32" s="172" t="s">
        <v>777</v>
      </c>
      <c r="E32" s="149" t="s">
        <v>41</v>
      </c>
      <c r="F32" s="149" t="s">
        <v>41</v>
      </c>
      <c r="G32" s="149" t="s">
        <v>41</v>
      </c>
      <c r="H32" s="149" t="s">
        <v>1097</v>
      </c>
      <c r="I32" s="150"/>
      <c r="J32" s="149">
        <v>791.8</v>
      </c>
      <c r="K32" s="149">
        <v>0.015997</v>
      </c>
    </row>
    <row r="33">
      <c r="A33" s="2">
        <v>32.0</v>
      </c>
      <c r="B33" s="168" t="s">
        <v>167</v>
      </c>
      <c r="C33" s="149">
        <v>1887.0</v>
      </c>
      <c r="D33" s="172" t="s">
        <v>777</v>
      </c>
      <c r="E33" s="149" t="s">
        <v>41</v>
      </c>
      <c r="F33" s="149" t="s">
        <v>41</v>
      </c>
      <c r="G33" s="149" t="s">
        <v>41</v>
      </c>
      <c r="H33" s="149" t="s">
        <v>1098</v>
      </c>
      <c r="I33" s="150"/>
      <c r="J33" s="149">
        <v>1733.81</v>
      </c>
      <c r="K33" s="149">
        <v>0.003244</v>
      </c>
    </row>
    <row r="34">
      <c r="A34" s="2">
        <v>33.0</v>
      </c>
      <c r="B34" s="168" t="s">
        <v>167</v>
      </c>
      <c r="C34" s="149">
        <v>2390.0</v>
      </c>
      <c r="D34" s="172" t="s">
        <v>777</v>
      </c>
      <c r="E34" s="149" t="s">
        <v>41</v>
      </c>
      <c r="F34" s="149" t="s">
        <v>41</v>
      </c>
      <c r="G34" s="149" t="s">
        <v>41</v>
      </c>
      <c r="H34" s="149" t="s">
        <v>1100</v>
      </c>
      <c r="I34" s="150"/>
      <c r="J34" s="149">
        <v>539.91</v>
      </c>
      <c r="K34" s="149">
        <v>0.003703</v>
      </c>
    </row>
    <row r="35">
      <c r="A35" s="167">
        <v>34.0</v>
      </c>
      <c r="B35" s="170" t="s">
        <v>167</v>
      </c>
      <c r="C35" s="171">
        <v>2871.0</v>
      </c>
      <c r="D35" s="172" t="s">
        <v>777</v>
      </c>
      <c r="E35" s="149" t="s">
        <v>41</v>
      </c>
      <c r="F35" s="149" t="s">
        <v>41</v>
      </c>
      <c r="G35" s="149" t="s">
        <v>41</v>
      </c>
      <c r="H35" s="149" t="s">
        <v>1101</v>
      </c>
      <c r="I35" s="150"/>
      <c r="J35" s="149">
        <v>607.03</v>
      </c>
      <c r="K35" s="149">
        <v>0.010577</v>
      </c>
    </row>
    <row r="36">
      <c r="A36" s="2">
        <v>35.0</v>
      </c>
      <c r="B36" s="170" t="s">
        <v>167</v>
      </c>
      <c r="C36" s="171">
        <v>3979.0</v>
      </c>
      <c r="D36" s="172" t="s">
        <v>777</v>
      </c>
      <c r="E36" s="149" t="s">
        <v>41</v>
      </c>
      <c r="F36" s="149" t="s">
        <v>41</v>
      </c>
      <c r="G36" s="149" t="s">
        <v>41</v>
      </c>
      <c r="H36" s="149" t="s">
        <v>1102</v>
      </c>
      <c r="I36" s="150"/>
      <c r="J36" s="149">
        <v>486.15</v>
      </c>
      <c r="K36" s="149">
        <v>0.004836</v>
      </c>
    </row>
    <row r="37">
      <c r="A37" s="2">
        <v>36.0</v>
      </c>
      <c r="B37" s="173" t="s">
        <v>139</v>
      </c>
      <c r="C37" s="171">
        <v>6212.0</v>
      </c>
      <c r="D37" s="171" t="s">
        <v>1084</v>
      </c>
      <c r="E37" s="149" t="s">
        <v>41</v>
      </c>
      <c r="F37" s="149" t="s">
        <v>41</v>
      </c>
      <c r="G37" s="149" t="s">
        <v>41</v>
      </c>
      <c r="H37" s="149" t="s">
        <v>1104</v>
      </c>
      <c r="I37" s="150"/>
      <c r="J37" s="149">
        <v>1358.69</v>
      </c>
      <c r="K37" s="149">
        <v>0.009602</v>
      </c>
    </row>
    <row r="38">
      <c r="A38" s="2">
        <v>37.0</v>
      </c>
      <c r="B38" s="173" t="s">
        <v>139</v>
      </c>
      <c r="C38" s="171">
        <v>6225.0</v>
      </c>
      <c r="D38" s="171" t="s">
        <v>1084</v>
      </c>
      <c r="E38" s="149" t="s">
        <v>32</v>
      </c>
      <c r="F38" s="149" t="s">
        <v>32</v>
      </c>
      <c r="G38" s="149" t="s">
        <v>41</v>
      </c>
      <c r="H38" s="149" t="s">
        <v>1106</v>
      </c>
      <c r="I38" s="150"/>
      <c r="J38" s="149">
        <v>639.57</v>
      </c>
      <c r="K38" s="149">
        <v>0.005778</v>
      </c>
    </row>
    <row r="39">
      <c r="A39" s="167">
        <v>38.0</v>
      </c>
      <c r="B39" s="173" t="s">
        <v>139</v>
      </c>
      <c r="C39" s="171">
        <v>6271.0</v>
      </c>
      <c r="D39" s="171" t="s">
        <v>1084</v>
      </c>
      <c r="E39" s="149" t="s">
        <v>32</v>
      </c>
      <c r="F39" s="149" t="s">
        <v>32</v>
      </c>
      <c r="G39" s="149" t="s">
        <v>41</v>
      </c>
      <c r="H39" s="149" t="s">
        <v>1107</v>
      </c>
      <c r="I39" s="150"/>
      <c r="J39" s="149">
        <v>639.34</v>
      </c>
      <c r="K39" s="149">
        <v>0.013028</v>
      </c>
    </row>
    <row r="40">
      <c r="A40" s="2">
        <v>39.0</v>
      </c>
      <c r="B40" s="173" t="s">
        <v>139</v>
      </c>
      <c r="C40" s="171">
        <v>6302.0</v>
      </c>
      <c r="D40" s="171" t="s">
        <v>1084</v>
      </c>
      <c r="E40" s="149" t="s">
        <v>32</v>
      </c>
      <c r="F40" s="149" t="s">
        <v>41</v>
      </c>
      <c r="G40" s="149" t="s">
        <v>41</v>
      </c>
      <c r="H40" s="149" t="s">
        <v>1110</v>
      </c>
      <c r="I40" s="150"/>
      <c r="J40" s="149">
        <v>715.88</v>
      </c>
      <c r="K40" s="149">
        <v>0.011609</v>
      </c>
    </row>
    <row r="41">
      <c r="A41" s="2">
        <v>40.0</v>
      </c>
      <c r="B41" s="173" t="s">
        <v>139</v>
      </c>
      <c r="C41" s="171">
        <v>6321.0</v>
      </c>
      <c r="D41" s="171" t="s">
        <v>1084</v>
      </c>
      <c r="E41" s="149" t="s">
        <v>41</v>
      </c>
      <c r="F41" s="149" t="s">
        <v>41</v>
      </c>
      <c r="G41" s="149" t="s">
        <v>41</v>
      </c>
      <c r="H41" s="149" t="s">
        <v>1112</v>
      </c>
      <c r="I41" s="150"/>
      <c r="J41" s="149">
        <v>863.89</v>
      </c>
      <c r="K41" s="149">
        <v>0.022545</v>
      </c>
    </row>
    <row r="43">
      <c r="J43" s="15">
        <f t="shared" ref="J43:K43" si="1">SUM(J2:J41)</f>
        <v>39947.73</v>
      </c>
      <c r="K43" s="15">
        <f t="shared" si="1"/>
        <v>2.560897</v>
      </c>
    </row>
    <row r="44">
      <c r="B44" s="174" t="s">
        <v>1096</v>
      </c>
      <c r="C44" s="63"/>
      <c r="J44" s="15">
        <f t="shared" ref="J44:K44" si="2">J43/40</f>
        <v>998.69325</v>
      </c>
      <c r="K44" s="15">
        <f t="shared" si="2"/>
        <v>0.064022425</v>
      </c>
    </row>
    <row r="45">
      <c r="B45" s="5" t="s">
        <v>1099</v>
      </c>
      <c r="C45" s="63">
        <f t="array" ref="C45">COUNTA(UNIQUE(B2:B41))-3</f>
        <v>7</v>
      </c>
    </row>
    <row r="46">
      <c r="B46" s="5" t="s">
        <v>103</v>
      </c>
      <c r="C46" s="63">
        <f>COUNTA(B2:B41)</f>
        <v>40</v>
      </c>
      <c r="J46" s="2" t="s">
        <v>1113</v>
      </c>
    </row>
    <row r="47">
      <c r="B47" s="5" t="s">
        <v>1014</v>
      </c>
      <c r="C47" s="63">
        <f>COUNTIF(E2:E41, "Y")</f>
        <v>25</v>
      </c>
      <c r="D47" s="51"/>
    </row>
    <row r="48">
      <c r="B48" s="5" t="s">
        <v>1105</v>
      </c>
      <c r="C48" s="63">
        <f>COUNTIF(F2:F41, "Y")</f>
        <v>9</v>
      </c>
      <c r="D48" s="51"/>
    </row>
    <row r="49">
      <c r="B49" s="5" t="s">
        <v>1016</v>
      </c>
      <c r="C49" s="63">
        <f>COUNTIF(G2:G36, "Y")</f>
        <v>6</v>
      </c>
      <c r="D49" s="51"/>
    </row>
    <row r="54">
      <c r="G54" s="5"/>
    </row>
    <row r="59">
      <c r="B59" s="2" t="s">
        <v>1111</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34.5"/>
    <col customWidth="1" min="8" max="8" width="69.88"/>
  </cols>
  <sheetData>
    <row r="1">
      <c r="A1" s="5" t="s">
        <v>12</v>
      </c>
      <c r="B1" s="5" t="s">
        <v>1009</v>
      </c>
      <c r="C1" s="5" t="s">
        <v>1010</v>
      </c>
      <c r="D1" s="5" t="s">
        <v>744</v>
      </c>
      <c r="E1" s="5" t="s">
        <v>1014</v>
      </c>
      <c r="F1" s="5" t="s">
        <v>1015</v>
      </c>
      <c r="G1" s="5" t="s">
        <v>1016</v>
      </c>
      <c r="H1" s="5" t="s">
        <v>1011</v>
      </c>
      <c r="I1" s="5" t="s">
        <v>1017</v>
      </c>
      <c r="J1" s="2" t="s">
        <v>996</v>
      </c>
      <c r="K1" s="2" t="s">
        <v>1018</v>
      </c>
    </row>
    <row r="2">
      <c r="A2" s="2">
        <v>1.0</v>
      </c>
      <c r="B2" s="146" t="s">
        <v>174</v>
      </c>
      <c r="C2" s="147">
        <v>273.0</v>
      </c>
      <c r="D2" s="148" t="s">
        <v>777</v>
      </c>
      <c r="E2" s="149" t="s">
        <v>32</v>
      </c>
      <c r="F2" s="149" t="s">
        <v>32</v>
      </c>
      <c r="G2" s="149" t="s">
        <v>41</v>
      </c>
      <c r="H2" s="149" t="s">
        <v>1107</v>
      </c>
      <c r="I2" s="150"/>
      <c r="J2" s="151">
        <v>1922.88</v>
      </c>
      <c r="K2" s="151">
        <v>0.012128</v>
      </c>
    </row>
    <row r="3">
      <c r="A3" s="167">
        <v>2.0</v>
      </c>
      <c r="B3" s="167" t="s">
        <v>112</v>
      </c>
      <c r="C3" s="154">
        <v>209.0</v>
      </c>
      <c r="D3" s="155" t="s">
        <v>777</v>
      </c>
      <c r="E3" s="155" t="s">
        <v>32</v>
      </c>
      <c r="F3" s="155" t="s">
        <v>41</v>
      </c>
      <c r="G3" s="155" t="s">
        <v>41</v>
      </c>
      <c r="H3" s="155" t="s">
        <v>1032</v>
      </c>
      <c r="I3" s="156"/>
      <c r="J3" s="156">
        <v>3723.62</v>
      </c>
      <c r="K3" s="156">
        <v>0.021985</v>
      </c>
    </row>
    <row r="4">
      <c r="A4" s="2">
        <v>3.0</v>
      </c>
      <c r="B4" s="146" t="s">
        <v>174</v>
      </c>
      <c r="C4" s="149">
        <v>56.0</v>
      </c>
      <c r="D4" s="148" t="s">
        <v>777</v>
      </c>
      <c r="E4" s="149" t="s">
        <v>32</v>
      </c>
      <c r="F4" s="149" t="s">
        <v>41</v>
      </c>
      <c r="G4" s="162" t="s">
        <v>41</v>
      </c>
      <c r="H4" s="150"/>
      <c r="I4" s="150"/>
      <c r="J4" s="149">
        <v>852.13</v>
      </c>
      <c r="K4" s="151">
        <v>0.00524</v>
      </c>
    </row>
    <row r="5">
      <c r="A5" s="2">
        <v>4.0</v>
      </c>
      <c r="B5" s="146" t="s">
        <v>174</v>
      </c>
      <c r="C5" s="149">
        <v>71.0</v>
      </c>
      <c r="D5" s="148" t="s">
        <v>777</v>
      </c>
      <c r="E5" s="149" t="s">
        <v>32</v>
      </c>
      <c r="F5" s="149" t="s">
        <v>41</v>
      </c>
      <c r="G5" s="149" t="s">
        <v>41</v>
      </c>
      <c r="H5" s="149" t="s">
        <v>1037</v>
      </c>
      <c r="I5" s="150"/>
      <c r="J5" s="149">
        <v>92.51</v>
      </c>
      <c r="K5" s="149">
        <v>2.77E-4</v>
      </c>
    </row>
    <row r="6">
      <c r="A6" s="2">
        <v>5.0</v>
      </c>
      <c r="B6" s="2" t="s">
        <v>112</v>
      </c>
      <c r="C6" s="149">
        <v>83.0</v>
      </c>
      <c r="D6" s="149" t="s">
        <v>777</v>
      </c>
      <c r="E6" s="149" t="s">
        <v>32</v>
      </c>
      <c r="F6" s="149" t="s">
        <v>41</v>
      </c>
      <c r="G6" s="149" t="s">
        <v>41</v>
      </c>
      <c r="H6" s="149" t="s">
        <v>1041</v>
      </c>
      <c r="I6" s="150"/>
      <c r="J6" s="149">
        <v>1161.74</v>
      </c>
      <c r="K6" s="149">
        <v>0.012144</v>
      </c>
    </row>
    <row r="7">
      <c r="A7" s="167">
        <v>6.0</v>
      </c>
      <c r="B7" s="146" t="s">
        <v>174</v>
      </c>
      <c r="C7" s="149">
        <v>121.0</v>
      </c>
      <c r="D7" s="148" t="s">
        <v>777</v>
      </c>
      <c r="E7" s="149" t="s">
        <v>32</v>
      </c>
      <c r="F7" s="149" t="s">
        <v>32</v>
      </c>
      <c r="G7" s="149" t="s">
        <v>32</v>
      </c>
      <c r="H7" s="150"/>
      <c r="I7" s="150"/>
      <c r="J7" s="149">
        <v>1332.6</v>
      </c>
      <c r="K7" s="149">
        <v>0.062477</v>
      </c>
    </row>
    <row r="8">
      <c r="A8" s="2">
        <v>7.0</v>
      </c>
      <c r="B8" s="2" t="s">
        <v>112</v>
      </c>
      <c r="C8" s="149">
        <v>149.0</v>
      </c>
      <c r="D8" s="148" t="s">
        <v>777</v>
      </c>
      <c r="E8" s="149" t="s">
        <v>32</v>
      </c>
      <c r="F8" s="149" t="s">
        <v>41</v>
      </c>
      <c r="G8" s="149" t="s">
        <v>41</v>
      </c>
      <c r="H8" s="149" t="s">
        <v>1045</v>
      </c>
      <c r="I8" s="150"/>
      <c r="J8" s="149">
        <v>664.96</v>
      </c>
      <c r="K8" s="149">
        <v>0.01195</v>
      </c>
    </row>
    <row r="9">
      <c r="A9" s="2">
        <v>8.0</v>
      </c>
      <c r="B9" s="146" t="s">
        <v>174</v>
      </c>
      <c r="C9" s="149">
        <v>174.0</v>
      </c>
      <c r="D9" s="148" t="s">
        <v>777</v>
      </c>
      <c r="E9" s="149" t="s">
        <v>32</v>
      </c>
      <c r="F9" s="149" t="s">
        <v>32</v>
      </c>
      <c r="G9" s="149" t="s">
        <v>32</v>
      </c>
      <c r="H9" s="149"/>
      <c r="I9" s="150"/>
      <c r="J9" s="149">
        <v>834.87</v>
      </c>
      <c r="K9" s="149">
        <v>9.8E-4</v>
      </c>
    </row>
    <row r="10">
      <c r="A10" s="2">
        <v>9.0</v>
      </c>
      <c r="B10" s="168" t="s">
        <v>128</v>
      </c>
      <c r="C10" s="149">
        <v>793.0</v>
      </c>
      <c r="D10" s="148" t="s">
        <v>777</v>
      </c>
      <c r="E10" s="149" t="s">
        <v>32</v>
      </c>
      <c r="F10" s="149" t="s">
        <v>41</v>
      </c>
      <c r="G10" s="149" t="s">
        <v>41</v>
      </c>
      <c r="H10" s="149" t="s">
        <v>1048</v>
      </c>
      <c r="I10" s="150"/>
      <c r="J10" s="151">
        <v>1501.01</v>
      </c>
      <c r="K10" s="151">
        <v>0.00677</v>
      </c>
    </row>
    <row r="11">
      <c r="A11" s="167">
        <v>10.0</v>
      </c>
      <c r="B11" s="168" t="s">
        <v>1035</v>
      </c>
      <c r="C11" s="149">
        <v>411.0</v>
      </c>
      <c r="D11" s="148" t="s">
        <v>777</v>
      </c>
      <c r="E11" s="149" t="s">
        <v>32</v>
      </c>
      <c r="F11" s="149" t="s">
        <v>41</v>
      </c>
      <c r="G11" s="162" t="s">
        <v>41</v>
      </c>
      <c r="H11" s="149" t="s">
        <v>1051</v>
      </c>
      <c r="I11" s="150"/>
      <c r="J11" s="151">
        <v>1278.94</v>
      </c>
      <c r="K11" s="151">
        <v>0.011253</v>
      </c>
    </row>
    <row r="12">
      <c r="A12" s="2">
        <v>11.0</v>
      </c>
      <c r="B12" s="168" t="s">
        <v>1040</v>
      </c>
      <c r="C12" s="149">
        <v>313.0</v>
      </c>
      <c r="D12" s="148" t="s">
        <v>777</v>
      </c>
      <c r="E12" s="149" t="s">
        <v>32</v>
      </c>
      <c r="F12" s="149" t="s">
        <v>32</v>
      </c>
      <c r="G12" s="149" t="s">
        <v>32</v>
      </c>
      <c r="H12" s="149"/>
      <c r="I12" s="150"/>
      <c r="J12" s="169">
        <v>883.44</v>
      </c>
      <c r="K12" s="151">
        <v>0.002516</v>
      </c>
    </row>
    <row r="13">
      <c r="A13" s="2">
        <v>12.0</v>
      </c>
      <c r="B13" s="168" t="s">
        <v>118</v>
      </c>
      <c r="C13" s="149">
        <v>87.0</v>
      </c>
      <c r="D13" s="149" t="s">
        <v>786</v>
      </c>
      <c r="E13" s="149" t="s">
        <v>32</v>
      </c>
      <c r="F13" s="149" t="s">
        <v>41</v>
      </c>
      <c r="G13" s="149" t="s">
        <v>41</v>
      </c>
      <c r="H13" s="149" t="s">
        <v>1055</v>
      </c>
      <c r="I13" s="150"/>
      <c r="J13" s="149">
        <v>1181.14</v>
      </c>
      <c r="K13" s="149">
        <v>0.00586</v>
      </c>
    </row>
    <row r="14">
      <c r="A14" s="2">
        <v>13.0</v>
      </c>
      <c r="B14" s="168" t="s">
        <v>1043</v>
      </c>
      <c r="C14" s="149">
        <v>434.0</v>
      </c>
      <c r="D14" s="149" t="s">
        <v>1044</v>
      </c>
      <c r="E14" s="149" t="s">
        <v>32</v>
      </c>
      <c r="F14" s="149" t="s">
        <v>41</v>
      </c>
      <c r="G14" s="149" t="s">
        <v>41</v>
      </c>
      <c r="H14" s="149" t="s">
        <v>1057</v>
      </c>
      <c r="I14" s="150"/>
      <c r="J14" s="149">
        <v>533.33</v>
      </c>
      <c r="K14" s="149">
        <v>0.002904</v>
      </c>
    </row>
    <row r="15">
      <c r="A15" s="167">
        <v>14.0</v>
      </c>
      <c r="B15" s="168" t="s">
        <v>1035</v>
      </c>
      <c r="C15" s="149">
        <v>71.0</v>
      </c>
      <c r="D15" s="148" t="s">
        <v>777</v>
      </c>
      <c r="E15" s="149" t="s">
        <v>32</v>
      </c>
      <c r="F15" s="149" t="s">
        <v>32</v>
      </c>
      <c r="G15" s="149" t="s">
        <v>32</v>
      </c>
      <c r="H15" s="149"/>
      <c r="I15" s="150"/>
      <c r="J15" s="151">
        <v>409.77</v>
      </c>
      <c r="K15" s="151">
        <v>0.015462</v>
      </c>
    </row>
    <row r="16">
      <c r="A16" s="2">
        <v>15.0</v>
      </c>
      <c r="B16" s="168" t="s">
        <v>1040</v>
      </c>
      <c r="C16" s="149">
        <v>256.0</v>
      </c>
      <c r="D16" s="148" t="s">
        <v>777</v>
      </c>
      <c r="E16" s="149" t="s">
        <v>32</v>
      </c>
      <c r="F16" s="149" t="s">
        <v>32</v>
      </c>
      <c r="G16" s="149" t="s">
        <v>32</v>
      </c>
      <c r="H16" s="149"/>
      <c r="I16" s="150"/>
      <c r="J16" s="151">
        <v>951.13</v>
      </c>
      <c r="K16" s="151">
        <v>0.012965</v>
      </c>
    </row>
    <row r="17">
      <c r="A17" s="2">
        <v>16.0</v>
      </c>
      <c r="B17" s="168" t="s">
        <v>1043</v>
      </c>
      <c r="C17" s="149">
        <v>538.0</v>
      </c>
      <c r="D17" s="149" t="s">
        <v>1044</v>
      </c>
      <c r="E17" s="149" t="s">
        <v>41</v>
      </c>
      <c r="F17" s="149" t="s">
        <v>41</v>
      </c>
      <c r="G17" s="149" t="s">
        <v>41</v>
      </c>
      <c r="H17" s="149" t="s">
        <v>1061</v>
      </c>
      <c r="I17" s="150"/>
      <c r="J17" s="149">
        <v>403.67</v>
      </c>
      <c r="K17" s="149">
        <v>0.003979</v>
      </c>
    </row>
    <row r="18">
      <c r="A18" s="2">
        <v>17.0</v>
      </c>
      <c r="B18" s="168" t="s">
        <v>1043</v>
      </c>
      <c r="C18" s="149">
        <v>585.0</v>
      </c>
      <c r="D18" s="149" t="s">
        <v>1044</v>
      </c>
      <c r="E18" s="149" t="s">
        <v>41</v>
      </c>
      <c r="F18" s="149" t="s">
        <v>41</v>
      </c>
      <c r="G18" s="149" t="s">
        <v>41</v>
      </c>
      <c r="H18" s="149" t="s">
        <v>1061</v>
      </c>
      <c r="I18" s="150"/>
      <c r="J18" s="149">
        <v>379.23</v>
      </c>
      <c r="K18" s="149">
        <v>5.49E-4</v>
      </c>
    </row>
    <row r="19">
      <c r="A19" s="167">
        <v>18.0</v>
      </c>
      <c r="B19" s="168" t="s">
        <v>1035</v>
      </c>
      <c r="C19" s="149">
        <v>923.0</v>
      </c>
      <c r="D19" s="148" t="s">
        <v>777</v>
      </c>
      <c r="E19" s="149" t="s">
        <v>32</v>
      </c>
      <c r="F19" s="149" t="s">
        <v>41</v>
      </c>
      <c r="G19" s="149" t="s">
        <v>41</v>
      </c>
      <c r="H19" s="149" t="s">
        <v>1064</v>
      </c>
      <c r="I19" s="150"/>
      <c r="J19" s="149">
        <v>1211.55</v>
      </c>
      <c r="K19" s="149">
        <v>0.006221</v>
      </c>
    </row>
    <row r="20">
      <c r="A20" s="2">
        <v>19.0</v>
      </c>
      <c r="B20" s="168" t="s">
        <v>1035</v>
      </c>
      <c r="C20" s="149">
        <v>91.0</v>
      </c>
      <c r="D20" s="148" t="s">
        <v>777</v>
      </c>
      <c r="E20" s="149" t="s">
        <v>32</v>
      </c>
      <c r="F20" s="149" t="s">
        <v>41</v>
      </c>
      <c r="G20" s="149" t="s">
        <v>41</v>
      </c>
      <c r="H20" s="149" t="s">
        <v>1065</v>
      </c>
      <c r="I20" s="150"/>
      <c r="J20" s="149">
        <v>1583.62</v>
      </c>
      <c r="K20" s="149">
        <v>0.014983</v>
      </c>
    </row>
    <row r="21">
      <c r="A21" s="2">
        <v>20.0</v>
      </c>
      <c r="B21" s="168" t="s">
        <v>1035</v>
      </c>
      <c r="C21" s="149">
        <v>441.0</v>
      </c>
      <c r="D21" s="148" t="s">
        <v>777</v>
      </c>
      <c r="E21" s="149" t="s">
        <v>32</v>
      </c>
      <c r="F21" s="149" t="s">
        <v>41</v>
      </c>
      <c r="G21" s="149" t="s">
        <v>41</v>
      </c>
      <c r="H21" s="149" t="s">
        <v>1067</v>
      </c>
      <c r="I21" s="150"/>
      <c r="J21" s="149">
        <v>1498.26</v>
      </c>
      <c r="K21" s="149">
        <v>0.014628</v>
      </c>
    </row>
    <row r="22">
      <c r="A22" s="2">
        <v>21.0</v>
      </c>
      <c r="B22" s="168" t="s">
        <v>1035</v>
      </c>
      <c r="C22" s="149">
        <v>513.0</v>
      </c>
      <c r="D22" s="148" t="s">
        <v>777</v>
      </c>
      <c r="E22" s="149" t="s">
        <v>32</v>
      </c>
      <c r="F22" s="149" t="s">
        <v>32</v>
      </c>
      <c r="G22" s="149" t="s">
        <v>41</v>
      </c>
      <c r="H22" s="149" t="s">
        <v>1070</v>
      </c>
      <c r="I22" s="150"/>
      <c r="J22" s="149">
        <v>605.53</v>
      </c>
      <c r="K22" s="149">
        <v>0.011726</v>
      </c>
    </row>
    <row r="23">
      <c r="A23" s="167">
        <v>22.0</v>
      </c>
      <c r="B23" s="170" t="s">
        <v>1035</v>
      </c>
      <c r="C23" s="171">
        <v>1129.0</v>
      </c>
      <c r="D23" s="172" t="s">
        <v>777</v>
      </c>
      <c r="E23" s="149" t="s">
        <v>41</v>
      </c>
      <c r="F23" s="149" t="s">
        <v>41</v>
      </c>
      <c r="G23" s="149" t="s">
        <v>41</v>
      </c>
      <c r="H23" s="149" t="s">
        <v>1074</v>
      </c>
      <c r="I23" s="150"/>
      <c r="J23" s="149">
        <v>787.08</v>
      </c>
      <c r="K23" s="149">
        <v>0.011464</v>
      </c>
    </row>
    <row r="24">
      <c r="A24" s="2">
        <v>23.0</v>
      </c>
      <c r="B24" s="170" t="s">
        <v>1035</v>
      </c>
      <c r="C24" s="171">
        <v>768.0</v>
      </c>
      <c r="D24" s="172" t="s">
        <v>777</v>
      </c>
      <c r="E24" s="149" t="s">
        <v>32</v>
      </c>
      <c r="F24" s="149" t="s">
        <v>41</v>
      </c>
      <c r="G24" s="149" t="s">
        <v>41</v>
      </c>
      <c r="H24" s="149" t="s">
        <v>1076</v>
      </c>
      <c r="I24" s="150"/>
      <c r="J24" s="149">
        <v>1369.81</v>
      </c>
      <c r="K24" s="149">
        <v>0.008164</v>
      </c>
    </row>
    <row r="25">
      <c r="A25" s="2">
        <v>24.0</v>
      </c>
      <c r="B25" s="168" t="s">
        <v>128</v>
      </c>
      <c r="C25" s="149">
        <v>1437.0</v>
      </c>
      <c r="D25" s="148" t="s">
        <v>777</v>
      </c>
      <c r="E25" s="149" t="s">
        <v>32</v>
      </c>
      <c r="F25" s="149" t="s">
        <v>41</v>
      </c>
      <c r="G25" s="149" t="s">
        <v>41</v>
      </c>
      <c r="H25" s="149" t="s">
        <v>1078</v>
      </c>
      <c r="I25" s="150"/>
      <c r="J25" s="149">
        <v>1526.31</v>
      </c>
      <c r="K25" s="149">
        <v>0.013118</v>
      </c>
    </row>
    <row r="26">
      <c r="A26" s="2">
        <v>25.0</v>
      </c>
      <c r="B26" s="168" t="s">
        <v>128</v>
      </c>
      <c r="C26" s="149">
        <v>1439.0</v>
      </c>
      <c r="D26" s="148" t="s">
        <v>777</v>
      </c>
      <c r="E26" s="149" t="s">
        <v>41</v>
      </c>
      <c r="F26" s="149" t="s">
        <v>41</v>
      </c>
      <c r="G26" s="149" t="s">
        <v>41</v>
      </c>
      <c r="H26" s="149" t="s">
        <v>1080</v>
      </c>
      <c r="I26" s="150"/>
      <c r="J26" s="149">
        <v>1328.44</v>
      </c>
      <c r="K26" s="149">
        <v>0.0084</v>
      </c>
    </row>
    <row r="27">
      <c r="A27" s="167">
        <v>26.0</v>
      </c>
      <c r="B27" s="168" t="s">
        <v>128</v>
      </c>
      <c r="C27" s="149">
        <v>1445.0</v>
      </c>
      <c r="D27" s="148" t="s">
        <v>777</v>
      </c>
      <c r="E27" s="149" t="s">
        <v>41</v>
      </c>
      <c r="F27" s="149" t="s">
        <v>41</v>
      </c>
      <c r="G27" s="149" t="s">
        <v>41</v>
      </c>
      <c r="H27" s="149" t="s">
        <v>1083</v>
      </c>
      <c r="I27" s="150"/>
      <c r="J27" s="149">
        <v>853.95</v>
      </c>
      <c r="K27" s="149">
        <v>0.008984</v>
      </c>
    </row>
    <row r="28">
      <c r="A28" s="2">
        <v>27.0</v>
      </c>
      <c r="B28" s="170" t="s">
        <v>1035</v>
      </c>
      <c r="C28" s="171">
        <v>974.0</v>
      </c>
      <c r="D28" s="172" t="s">
        <v>777</v>
      </c>
      <c r="E28" s="149" t="s">
        <v>41</v>
      </c>
      <c r="F28" s="149" t="s">
        <v>41</v>
      </c>
      <c r="G28" s="149" t="s">
        <v>41</v>
      </c>
      <c r="H28" s="149" t="s">
        <v>1086</v>
      </c>
      <c r="I28" s="150"/>
      <c r="J28" s="149">
        <v>1403.24</v>
      </c>
      <c r="K28" s="149">
        <v>0.006598</v>
      </c>
    </row>
    <row r="29">
      <c r="A29" s="2">
        <v>28.0</v>
      </c>
      <c r="B29" s="170" t="s">
        <v>1035</v>
      </c>
      <c r="C29" s="171">
        <v>1037.0</v>
      </c>
      <c r="D29" s="172" t="s">
        <v>777</v>
      </c>
      <c r="E29" s="149" t="s">
        <v>41</v>
      </c>
      <c r="F29" s="149" t="s">
        <v>41</v>
      </c>
      <c r="G29" s="149" t="s">
        <v>41</v>
      </c>
      <c r="H29" s="149" t="s">
        <v>1090</v>
      </c>
      <c r="I29" s="150"/>
      <c r="J29" s="149">
        <v>1604.27</v>
      </c>
      <c r="K29" s="149">
        <v>0.004736</v>
      </c>
    </row>
    <row r="30">
      <c r="A30" s="2">
        <v>29.0</v>
      </c>
      <c r="B30" s="168" t="s">
        <v>128</v>
      </c>
      <c r="C30" s="149">
        <v>1511.0</v>
      </c>
      <c r="D30" s="172" t="s">
        <v>777</v>
      </c>
      <c r="E30" s="149" t="s">
        <v>41</v>
      </c>
      <c r="F30" s="149" t="s">
        <v>41</v>
      </c>
      <c r="G30" s="149" t="s">
        <v>41</v>
      </c>
      <c r="H30" s="149" t="s">
        <v>1094</v>
      </c>
      <c r="I30" s="150"/>
      <c r="J30" s="149">
        <v>82.8</v>
      </c>
      <c r="K30" s="149">
        <v>0.006533</v>
      </c>
    </row>
    <row r="31">
      <c r="A31" s="167">
        <v>30.0</v>
      </c>
      <c r="B31" s="168" t="s">
        <v>187</v>
      </c>
      <c r="C31" s="149">
        <v>1886.0</v>
      </c>
      <c r="D31" s="172" t="s">
        <v>777</v>
      </c>
      <c r="E31" s="149" t="s">
        <v>32</v>
      </c>
      <c r="F31" s="149" t="s">
        <v>41</v>
      </c>
      <c r="G31" s="149" t="s">
        <v>41</v>
      </c>
      <c r="H31" s="149" t="s">
        <v>1095</v>
      </c>
      <c r="I31" s="150"/>
      <c r="J31" s="149">
        <v>691.51</v>
      </c>
      <c r="K31" s="149">
        <v>0.015602</v>
      </c>
    </row>
    <row r="32">
      <c r="A32" s="2">
        <v>31.0</v>
      </c>
      <c r="B32" s="168" t="s">
        <v>167</v>
      </c>
      <c r="C32" s="149">
        <v>942.0</v>
      </c>
      <c r="D32" s="172" t="s">
        <v>777</v>
      </c>
      <c r="E32" s="149" t="s">
        <v>41</v>
      </c>
      <c r="F32" s="149" t="s">
        <v>41</v>
      </c>
      <c r="G32" s="149" t="s">
        <v>41</v>
      </c>
      <c r="H32" s="149" t="s">
        <v>1097</v>
      </c>
      <c r="I32" s="150"/>
      <c r="J32" s="149">
        <v>791.8</v>
      </c>
      <c r="K32" s="149">
        <v>0.015997</v>
      </c>
    </row>
    <row r="33">
      <c r="A33" s="2">
        <v>32.0</v>
      </c>
      <c r="B33" s="168" t="s">
        <v>167</v>
      </c>
      <c r="C33" s="149">
        <v>1887.0</v>
      </c>
      <c r="D33" s="172" t="s">
        <v>777</v>
      </c>
      <c r="E33" s="149" t="s">
        <v>41</v>
      </c>
      <c r="F33" s="149" t="s">
        <v>41</v>
      </c>
      <c r="G33" s="149" t="s">
        <v>41</v>
      </c>
      <c r="H33" s="149" t="s">
        <v>1098</v>
      </c>
      <c r="I33" s="150"/>
      <c r="J33" s="149">
        <v>1733.81</v>
      </c>
      <c r="K33" s="149">
        <v>0.003244</v>
      </c>
    </row>
    <row r="34">
      <c r="A34" s="2">
        <v>33.0</v>
      </c>
      <c r="B34" s="168" t="s">
        <v>167</v>
      </c>
      <c r="C34" s="149">
        <v>2390.0</v>
      </c>
      <c r="D34" s="172" t="s">
        <v>777</v>
      </c>
      <c r="E34" s="149" t="s">
        <v>41</v>
      </c>
      <c r="F34" s="149" t="s">
        <v>41</v>
      </c>
      <c r="G34" s="149" t="s">
        <v>41</v>
      </c>
      <c r="H34" s="149" t="s">
        <v>1100</v>
      </c>
      <c r="I34" s="150"/>
      <c r="J34" s="149">
        <v>539.91</v>
      </c>
      <c r="K34" s="149">
        <v>0.003703</v>
      </c>
    </row>
    <row r="35">
      <c r="A35" s="167">
        <v>34.0</v>
      </c>
      <c r="B35" s="170" t="s">
        <v>167</v>
      </c>
      <c r="C35" s="171">
        <v>2871.0</v>
      </c>
      <c r="D35" s="172" t="s">
        <v>777</v>
      </c>
      <c r="E35" s="149" t="s">
        <v>41</v>
      </c>
      <c r="F35" s="149" t="s">
        <v>41</v>
      </c>
      <c r="G35" s="149" t="s">
        <v>41</v>
      </c>
      <c r="H35" s="149" t="s">
        <v>1101</v>
      </c>
      <c r="I35" s="150"/>
      <c r="J35" s="149">
        <v>607.03</v>
      </c>
      <c r="K35" s="149">
        <v>0.010577</v>
      </c>
    </row>
    <row r="36">
      <c r="A36" s="2">
        <v>35.0</v>
      </c>
      <c r="B36" s="170" t="s">
        <v>167</v>
      </c>
      <c r="C36" s="171">
        <v>3979.0</v>
      </c>
      <c r="D36" s="172" t="s">
        <v>777</v>
      </c>
      <c r="E36" s="149" t="s">
        <v>41</v>
      </c>
      <c r="F36" s="149" t="s">
        <v>41</v>
      </c>
      <c r="G36" s="149" t="s">
        <v>41</v>
      </c>
      <c r="H36" s="149" t="s">
        <v>1102</v>
      </c>
      <c r="I36" s="150"/>
      <c r="J36" s="149">
        <v>486.15</v>
      </c>
      <c r="K36" s="149">
        <v>0.004836</v>
      </c>
    </row>
    <row r="37">
      <c r="A37" s="2">
        <v>36.0</v>
      </c>
      <c r="B37" s="173" t="s">
        <v>139</v>
      </c>
      <c r="C37" s="171">
        <v>6212.0</v>
      </c>
      <c r="D37" s="171" t="s">
        <v>1084</v>
      </c>
      <c r="E37" s="149" t="s">
        <v>41</v>
      </c>
      <c r="F37" s="149" t="s">
        <v>41</v>
      </c>
      <c r="G37" s="149" t="s">
        <v>41</v>
      </c>
      <c r="H37" s="149" t="s">
        <v>1104</v>
      </c>
      <c r="I37" s="150"/>
      <c r="J37" s="149">
        <v>1358.69</v>
      </c>
      <c r="K37" s="149">
        <v>0.009602</v>
      </c>
    </row>
    <row r="38">
      <c r="A38" s="2">
        <v>37.0</v>
      </c>
      <c r="B38" s="173" t="s">
        <v>139</v>
      </c>
      <c r="C38" s="171">
        <v>6225.0</v>
      </c>
      <c r="D38" s="171" t="s">
        <v>1084</v>
      </c>
      <c r="E38" s="149" t="s">
        <v>32</v>
      </c>
      <c r="F38" s="149" t="s">
        <v>32</v>
      </c>
      <c r="G38" s="149" t="s">
        <v>41</v>
      </c>
      <c r="H38" s="149" t="s">
        <v>1106</v>
      </c>
      <c r="I38" s="150"/>
      <c r="J38" s="149">
        <v>639.57</v>
      </c>
      <c r="K38" s="149">
        <v>0.005778</v>
      </c>
    </row>
    <row r="39">
      <c r="A39" s="167">
        <v>38.0</v>
      </c>
      <c r="B39" s="173" t="s">
        <v>139</v>
      </c>
      <c r="C39" s="171">
        <v>6271.0</v>
      </c>
      <c r="D39" s="171" t="s">
        <v>1084</v>
      </c>
      <c r="E39" s="149" t="s">
        <v>32</v>
      </c>
      <c r="F39" s="149" t="s">
        <v>32</v>
      </c>
      <c r="G39" s="149" t="s">
        <v>41</v>
      </c>
      <c r="H39" s="149" t="s">
        <v>1107</v>
      </c>
      <c r="I39" s="150"/>
      <c r="J39" s="149">
        <v>639.34</v>
      </c>
      <c r="K39" s="149">
        <v>0.013028</v>
      </c>
    </row>
    <row r="40">
      <c r="A40" s="2">
        <v>39.0</v>
      </c>
      <c r="B40" s="173" t="s">
        <v>139</v>
      </c>
      <c r="C40" s="171">
        <v>6302.0</v>
      </c>
      <c r="D40" s="171" t="s">
        <v>1084</v>
      </c>
      <c r="E40" s="149" t="s">
        <v>32</v>
      </c>
      <c r="F40" s="149" t="s">
        <v>41</v>
      </c>
      <c r="G40" s="149" t="s">
        <v>41</v>
      </c>
      <c r="H40" s="149" t="s">
        <v>1110</v>
      </c>
      <c r="I40" s="150"/>
      <c r="J40" s="149">
        <v>715.88</v>
      </c>
      <c r="K40" s="149">
        <v>0.011609</v>
      </c>
    </row>
    <row r="41">
      <c r="A41" s="2">
        <v>40.0</v>
      </c>
      <c r="B41" s="173" t="s">
        <v>139</v>
      </c>
      <c r="C41" s="171">
        <v>6321.0</v>
      </c>
      <c r="D41" s="171" t="s">
        <v>1084</v>
      </c>
      <c r="E41" s="149" t="s">
        <v>41</v>
      </c>
      <c r="F41" s="149" t="s">
        <v>41</v>
      </c>
      <c r="G41" s="149" t="s">
        <v>41</v>
      </c>
      <c r="H41" s="149" t="s">
        <v>1112</v>
      </c>
      <c r="I41" s="150"/>
      <c r="J41" s="149">
        <v>863.89</v>
      </c>
      <c r="K41" s="149">
        <v>0.022545</v>
      </c>
    </row>
    <row r="43">
      <c r="J43" s="15">
        <f t="shared" ref="J43:K43" si="1">SUM(J2:J41)</f>
        <v>41029.41</v>
      </c>
      <c r="K43" s="15">
        <f t="shared" si="1"/>
        <v>0.421515</v>
      </c>
    </row>
    <row r="44">
      <c r="B44" s="174" t="s">
        <v>1096</v>
      </c>
      <c r="C44" s="63"/>
      <c r="J44" s="15">
        <f t="shared" ref="J44:K44" si="2">J43/40</f>
        <v>1025.73525</v>
      </c>
      <c r="K44" s="15">
        <f t="shared" si="2"/>
        <v>0.010537875</v>
      </c>
    </row>
    <row r="45">
      <c r="B45" s="5" t="s">
        <v>1099</v>
      </c>
      <c r="C45" s="63">
        <f t="array" ref="C45">COUNTA(UNIQUE(B2:B41))-3</f>
        <v>7</v>
      </c>
    </row>
    <row r="46">
      <c r="B46" s="5" t="s">
        <v>103</v>
      </c>
      <c r="C46" s="63">
        <f>COUNTA(B2:B41)</f>
        <v>40</v>
      </c>
      <c r="J46" s="2" t="s">
        <v>1113</v>
      </c>
    </row>
    <row r="47">
      <c r="B47" s="5" t="s">
        <v>1014</v>
      </c>
      <c r="C47" s="63">
        <f>COUNTIF(E2:E41, "Y")</f>
        <v>25</v>
      </c>
      <c r="D47" s="51"/>
    </row>
    <row r="48">
      <c r="B48" s="5" t="s">
        <v>1105</v>
      </c>
      <c r="C48" s="63">
        <f>COUNTIF(F2:F41, "Y")</f>
        <v>9</v>
      </c>
      <c r="D48" s="51"/>
    </row>
    <row r="49">
      <c r="B49" s="5" t="s">
        <v>1016</v>
      </c>
      <c r="C49" s="63">
        <f>COUNTIF(G2:G36, "Y")</f>
        <v>5</v>
      </c>
      <c r="D49" s="51"/>
    </row>
    <row r="54">
      <c r="G54" s="5"/>
    </row>
    <row r="59">
      <c r="B59" s="2" t="s">
        <v>1111</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8"/>
    <col customWidth="1" min="2" max="2" width="14.75"/>
    <col customWidth="1" min="3" max="4" width="11.25"/>
    <col customWidth="1" min="5" max="5" width="10.75"/>
    <col customWidth="1" min="6" max="6" width="10.25"/>
    <col customWidth="1" min="7" max="7" width="13.13"/>
    <col customWidth="1" min="9" max="9" width="56.13"/>
    <col customWidth="1" min="10" max="10" width="23.5"/>
    <col customWidth="1" min="11" max="11" width="27.0"/>
    <col customWidth="1" min="12" max="12" width="14.25"/>
  </cols>
  <sheetData>
    <row r="1" ht="22.5" customHeight="1">
      <c r="A1" s="186" t="s">
        <v>12</v>
      </c>
      <c r="B1" s="186" t="s">
        <v>1009</v>
      </c>
      <c r="C1" s="186" t="s">
        <v>1120</v>
      </c>
      <c r="D1" s="186" t="s">
        <v>744</v>
      </c>
      <c r="E1" s="186" t="s">
        <v>1121</v>
      </c>
      <c r="F1" s="186" t="s">
        <v>1015</v>
      </c>
      <c r="G1" s="186" t="s">
        <v>1123</v>
      </c>
      <c r="H1" s="186" t="s">
        <v>1124</v>
      </c>
      <c r="I1" s="186" t="s">
        <v>1125</v>
      </c>
      <c r="J1" s="186" t="s">
        <v>1126</v>
      </c>
      <c r="K1" s="186" t="s">
        <v>1127</v>
      </c>
      <c r="L1" s="186" t="s">
        <v>1128</v>
      </c>
    </row>
    <row r="2" ht="22.5" customHeight="1">
      <c r="A2" s="187">
        <v>1.0</v>
      </c>
      <c r="B2" s="188" t="s">
        <v>128</v>
      </c>
      <c r="C2" s="189">
        <v>888.0</v>
      </c>
      <c r="D2" s="190" t="s">
        <v>777</v>
      </c>
      <c r="E2" s="191" t="s">
        <v>32</v>
      </c>
      <c r="F2" s="192" t="s">
        <v>32</v>
      </c>
      <c r="G2" s="193" t="s">
        <v>41</v>
      </c>
      <c r="H2" s="194" t="s">
        <v>1015</v>
      </c>
      <c r="I2" s="195" t="s">
        <v>1130</v>
      </c>
      <c r="J2" s="195"/>
      <c r="K2" s="196" t="s">
        <v>1131</v>
      </c>
      <c r="L2" s="197" t="s">
        <v>6</v>
      </c>
    </row>
    <row r="3" ht="22.5" customHeight="1">
      <c r="A3" s="198">
        <v>2.0</v>
      </c>
      <c r="B3" s="199" t="s">
        <v>1132</v>
      </c>
      <c r="C3" s="200">
        <v>391.0</v>
      </c>
      <c r="D3" s="201" t="s">
        <v>1133</v>
      </c>
      <c r="E3" s="202" t="s">
        <v>32</v>
      </c>
      <c r="F3" s="203" t="s">
        <v>32</v>
      </c>
      <c r="G3" s="204" t="s">
        <v>41</v>
      </c>
      <c r="H3" s="205" t="s">
        <v>1136</v>
      </c>
      <c r="I3" s="206" t="s">
        <v>1137</v>
      </c>
      <c r="J3" s="196" t="s">
        <v>1131</v>
      </c>
      <c r="K3" s="207"/>
      <c r="L3" s="208" t="s">
        <v>6</v>
      </c>
    </row>
    <row r="4" ht="684.75" customHeight="1">
      <c r="A4" s="187">
        <v>3.0</v>
      </c>
      <c r="B4" s="188" t="s">
        <v>1132</v>
      </c>
      <c r="C4" s="189">
        <v>42.0</v>
      </c>
      <c r="D4" s="201" t="s">
        <v>1133</v>
      </c>
      <c r="E4" s="209" t="s">
        <v>32</v>
      </c>
      <c r="F4" s="192" t="s">
        <v>32</v>
      </c>
      <c r="G4" s="193" t="s">
        <v>41</v>
      </c>
      <c r="H4" s="205" t="s">
        <v>1139</v>
      </c>
      <c r="I4" s="206" t="s">
        <v>1140</v>
      </c>
      <c r="J4" s="206" t="s">
        <v>1141</v>
      </c>
      <c r="K4" s="210" t="s">
        <v>1131</v>
      </c>
      <c r="L4" s="211"/>
    </row>
    <row r="5" ht="22.5" customHeight="1">
      <c r="A5" s="198">
        <v>4.0</v>
      </c>
      <c r="B5" s="199" t="s">
        <v>205</v>
      </c>
      <c r="C5" s="200">
        <v>228.0</v>
      </c>
      <c r="D5" s="201" t="s">
        <v>777</v>
      </c>
      <c r="E5" s="212" t="s">
        <v>32</v>
      </c>
      <c r="F5" s="213" t="s">
        <v>41</v>
      </c>
      <c r="G5" s="204" t="s">
        <v>41</v>
      </c>
      <c r="H5" s="205" t="s">
        <v>1142</v>
      </c>
      <c r="I5" s="205" t="s">
        <v>1143</v>
      </c>
      <c r="J5" s="214" t="s">
        <v>1144</v>
      </c>
      <c r="K5" s="210" t="s">
        <v>1145</v>
      </c>
      <c r="L5" s="215"/>
    </row>
    <row r="6" ht="22.5" customHeight="1">
      <c r="A6" s="187">
        <v>5.0</v>
      </c>
      <c r="B6" s="188" t="s">
        <v>1147</v>
      </c>
      <c r="C6" s="189">
        <v>254.0</v>
      </c>
      <c r="D6" s="201" t="s">
        <v>777</v>
      </c>
      <c r="E6" s="216" t="s">
        <v>41</v>
      </c>
      <c r="F6" s="217" t="s">
        <v>41</v>
      </c>
      <c r="G6" s="193" t="s">
        <v>41</v>
      </c>
      <c r="H6" s="205" t="s">
        <v>1142</v>
      </c>
      <c r="I6" s="206" t="s">
        <v>1148</v>
      </c>
      <c r="J6" s="214" t="s">
        <v>1149</v>
      </c>
      <c r="K6" s="218" t="s">
        <v>1150</v>
      </c>
      <c r="L6" s="211"/>
    </row>
    <row r="7" ht="22.5" customHeight="1">
      <c r="A7" s="198">
        <v>6.0</v>
      </c>
      <c r="B7" s="199" t="s">
        <v>174</v>
      </c>
      <c r="C7" s="200">
        <v>273.0</v>
      </c>
      <c r="D7" s="201" t="s">
        <v>777</v>
      </c>
      <c r="E7" s="202" t="s">
        <v>32</v>
      </c>
      <c r="F7" s="203" t="s">
        <v>32</v>
      </c>
      <c r="G7" s="219" t="s">
        <v>32</v>
      </c>
      <c r="H7" s="205" t="s">
        <v>1151</v>
      </c>
      <c r="I7" s="206" t="s">
        <v>1152</v>
      </c>
      <c r="J7" s="195" t="s">
        <v>1153</v>
      </c>
      <c r="K7" s="220"/>
      <c r="L7" s="208" t="s">
        <v>6</v>
      </c>
    </row>
    <row r="8" ht="22.5" customHeight="1">
      <c r="A8" s="187">
        <v>7.0</v>
      </c>
      <c r="B8" s="188" t="s">
        <v>193</v>
      </c>
      <c r="C8" s="189">
        <v>288.0</v>
      </c>
      <c r="D8" s="201" t="s">
        <v>1154</v>
      </c>
      <c r="E8" s="209" t="s">
        <v>32</v>
      </c>
      <c r="F8" s="217" t="s">
        <v>41</v>
      </c>
      <c r="G8" s="193" t="s">
        <v>41</v>
      </c>
      <c r="H8" s="205" t="s">
        <v>1142</v>
      </c>
      <c r="I8" s="206" t="s">
        <v>1155</v>
      </c>
      <c r="J8" s="214" t="s">
        <v>1156</v>
      </c>
      <c r="K8" s="210" t="s">
        <v>1157</v>
      </c>
      <c r="L8" s="211"/>
    </row>
    <row r="9" ht="22.5" customHeight="1">
      <c r="A9" s="198">
        <v>8.0</v>
      </c>
      <c r="B9" s="199" t="s">
        <v>1160</v>
      </c>
      <c r="C9" s="200">
        <v>337.0</v>
      </c>
      <c r="D9" s="201" t="s">
        <v>777</v>
      </c>
      <c r="E9" s="221" t="s">
        <v>41</v>
      </c>
      <c r="F9" s="213" t="s">
        <v>41</v>
      </c>
      <c r="G9" s="204" t="s">
        <v>41</v>
      </c>
      <c r="H9" s="205" t="s">
        <v>1142</v>
      </c>
      <c r="I9" s="206" t="s">
        <v>1161</v>
      </c>
      <c r="J9" s="214" t="s">
        <v>1162</v>
      </c>
      <c r="K9" s="218" t="s">
        <v>1163</v>
      </c>
      <c r="L9" s="215"/>
    </row>
    <row r="10" ht="22.5" customHeight="1">
      <c r="A10" s="187">
        <v>9.0</v>
      </c>
      <c r="B10" s="188" t="s">
        <v>1160</v>
      </c>
      <c r="C10" s="189">
        <v>350.0</v>
      </c>
      <c r="D10" s="190" t="s">
        <v>777</v>
      </c>
      <c r="E10" s="209" t="s">
        <v>32</v>
      </c>
      <c r="F10" s="217" t="s">
        <v>41</v>
      </c>
      <c r="G10" s="193" t="s">
        <v>41</v>
      </c>
      <c r="H10" s="205" t="s">
        <v>1142</v>
      </c>
      <c r="I10" s="206" t="s">
        <v>1168</v>
      </c>
      <c r="J10" s="214" t="s">
        <v>1169</v>
      </c>
      <c r="K10" s="218" t="s">
        <v>1170</v>
      </c>
      <c r="L10" s="211"/>
    </row>
    <row r="11" ht="22.5" customHeight="1">
      <c r="A11" s="198">
        <v>10.0</v>
      </c>
      <c r="B11" s="199" t="s">
        <v>1132</v>
      </c>
      <c r="C11" s="200">
        <v>390.0</v>
      </c>
      <c r="D11" s="201" t="s">
        <v>1133</v>
      </c>
      <c r="E11" s="222" t="s">
        <v>32</v>
      </c>
      <c r="F11" s="223" t="s">
        <v>32</v>
      </c>
      <c r="G11" s="204" t="s">
        <v>41</v>
      </c>
      <c r="H11" s="205" t="s">
        <v>1142</v>
      </c>
      <c r="I11" s="206" t="s">
        <v>1173</v>
      </c>
      <c r="J11" s="214" t="s">
        <v>1174</v>
      </c>
      <c r="K11" s="224" t="s">
        <v>1019</v>
      </c>
      <c r="L11" s="215"/>
    </row>
    <row r="12" ht="22.5" customHeight="1">
      <c r="A12" s="187">
        <v>11.0</v>
      </c>
      <c r="B12" s="188" t="s">
        <v>1175</v>
      </c>
      <c r="C12" s="189">
        <v>917.0</v>
      </c>
      <c r="D12" s="190" t="s">
        <v>1133</v>
      </c>
      <c r="E12" s="209" t="s">
        <v>32</v>
      </c>
      <c r="F12" s="217" t="s">
        <v>41</v>
      </c>
      <c r="G12" s="193" t="s">
        <v>41</v>
      </c>
      <c r="H12" s="205" t="s">
        <v>1142</v>
      </c>
      <c r="I12" s="206" t="s">
        <v>1177</v>
      </c>
      <c r="J12" s="214" t="s">
        <v>1178</v>
      </c>
      <c r="K12" s="225" t="s">
        <v>1179</v>
      </c>
      <c r="L12" s="211"/>
    </row>
    <row r="13" ht="22.5" customHeight="1">
      <c r="A13" s="198">
        <v>12.0</v>
      </c>
      <c r="B13" s="199" t="s">
        <v>1180</v>
      </c>
      <c r="C13" s="200">
        <v>423.0</v>
      </c>
      <c r="D13" s="201" t="s">
        <v>1133</v>
      </c>
      <c r="E13" s="222" t="s">
        <v>32</v>
      </c>
      <c r="F13" s="213" t="s">
        <v>41</v>
      </c>
      <c r="G13" s="204" t="s">
        <v>41</v>
      </c>
      <c r="H13" s="205" t="s">
        <v>1142</v>
      </c>
      <c r="I13" s="206" t="s">
        <v>1181</v>
      </c>
      <c r="J13" s="214" t="s">
        <v>1182</v>
      </c>
      <c r="K13" s="224" t="s">
        <v>1183</v>
      </c>
      <c r="L13" s="215"/>
    </row>
    <row r="14" ht="22.5" customHeight="1">
      <c r="A14" s="187">
        <v>13.0</v>
      </c>
      <c r="B14" s="188" t="s">
        <v>1184</v>
      </c>
      <c r="C14" s="189">
        <v>426.0</v>
      </c>
      <c r="D14" s="190" t="s">
        <v>1185</v>
      </c>
      <c r="E14" s="191" t="s">
        <v>32</v>
      </c>
      <c r="F14" s="217" t="s">
        <v>41</v>
      </c>
      <c r="G14" s="193" t="s">
        <v>41</v>
      </c>
      <c r="H14" s="205" t="s">
        <v>1186</v>
      </c>
      <c r="I14" s="206" t="s">
        <v>1187</v>
      </c>
      <c r="J14" s="206"/>
      <c r="K14" s="196" t="s">
        <v>1190</v>
      </c>
      <c r="L14" s="197" t="s">
        <v>6</v>
      </c>
    </row>
    <row r="15" ht="22.5" customHeight="1">
      <c r="A15" s="198">
        <v>14.0</v>
      </c>
      <c r="B15" s="199" t="s">
        <v>1191</v>
      </c>
      <c r="C15" s="200">
        <v>427.0</v>
      </c>
      <c r="D15" s="201" t="s">
        <v>777</v>
      </c>
      <c r="E15" s="202" t="s">
        <v>32</v>
      </c>
      <c r="F15" s="223" t="s">
        <v>41</v>
      </c>
      <c r="G15" s="204" t="s">
        <v>41</v>
      </c>
      <c r="H15" s="205" t="s">
        <v>1186</v>
      </c>
      <c r="I15" s="206" t="s">
        <v>1194</v>
      </c>
      <c r="J15" s="206"/>
      <c r="K15" s="226" t="s">
        <v>1195</v>
      </c>
      <c r="L15" s="208" t="s">
        <v>6</v>
      </c>
    </row>
    <row r="16" ht="22.5" customHeight="1">
      <c r="A16" s="187">
        <v>15.0</v>
      </c>
      <c r="B16" s="188" t="s">
        <v>128</v>
      </c>
      <c r="C16" s="189">
        <v>931.0</v>
      </c>
      <c r="D16" s="190" t="s">
        <v>777</v>
      </c>
      <c r="E16" s="209" t="s">
        <v>32</v>
      </c>
      <c r="F16" s="192" t="s">
        <v>32</v>
      </c>
      <c r="G16" s="193" t="s">
        <v>41</v>
      </c>
      <c r="H16" s="205" t="s">
        <v>1142</v>
      </c>
      <c r="I16" s="206" t="s">
        <v>1198</v>
      </c>
      <c r="J16" s="206"/>
      <c r="K16" s="226" t="s">
        <v>1199</v>
      </c>
      <c r="L16" s="197" t="s">
        <v>6</v>
      </c>
    </row>
    <row r="17" ht="22.5" customHeight="1">
      <c r="A17" s="198">
        <v>16.0</v>
      </c>
      <c r="B17" s="199" t="s">
        <v>193</v>
      </c>
      <c r="C17" s="200">
        <v>749.0</v>
      </c>
      <c r="D17" s="227"/>
      <c r="E17" s="222" t="s">
        <v>32</v>
      </c>
      <c r="F17" s="223" t="s">
        <v>32</v>
      </c>
      <c r="G17" s="204" t="s">
        <v>41</v>
      </c>
      <c r="H17" s="205" t="s">
        <v>1142</v>
      </c>
      <c r="I17" s="206" t="s">
        <v>1201</v>
      </c>
      <c r="J17" s="214" t="s">
        <v>1202</v>
      </c>
      <c r="K17" s="226" t="s">
        <v>1203</v>
      </c>
      <c r="L17" s="215"/>
    </row>
    <row r="18" ht="22.5" customHeight="1">
      <c r="A18" s="187">
        <v>17.0</v>
      </c>
      <c r="B18" s="188" t="s">
        <v>193</v>
      </c>
      <c r="C18" s="189">
        <v>878.0</v>
      </c>
      <c r="D18" s="228"/>
      <c r="E18" s="191" t="s">
        <v>32</v>
      </c>
      <c r="F18" s="217" t="s">
        <v>41</v>
      </c>
      <c r="G18" s="193" t="s">
        <v>41</v>
      </c>
      <c r="H18" s="205" t="s">
        <v>1204</v>
      </c>
      <c r="I18" s="206" t="s">
        <v>1205</v>
      </c>
      <c r="J18" s="214" t="s">
        <v>1206</v>
      </c>
      <c r="K18" s="229" t="s">
        <v>1207</v>
      </c>
      <c r="L18" s="211"/>
    </row>
    <row r="19" ht="22.5" customHeight="1">
      <c r="A19" s="198">
        <v>18.0</v>
      </c>
      <c r="B19" s="199" t="s">
        <v>1180</v>
      </c>
      <c r="C19" s="200">
        <v>494.0</v>
      </c>
      <c r="D19" s="227"/>
      <c r="E19" s="202" t="s">
        <v>32</v>
      </c>
      <c r="F19" s="203" t="s">
        <v>32</v>
      </c>
      <c r="G19" s="204" t="s">
        <v>41</v>
      </c>
      <c r="H19" s="205" t="s">
        <v>1186</v>
      </c>
      <c r="I19" s="206" t="s">
        <v>1210</v>
      </c>
      <c r="J19" s="206" t="s">
        <v>1211</v>
      </c>
      <c r="K19" s="230" t="s">
        <v>1211</v>
      </c>
      <c r="L19" s="208" t="s">
        <v>6</v>
      </c>
    </row>
    <row r="20" ht="22.5" customHeight="1">
      <c r="A20" s="187">
        <v>19.0</v>
      </c>
      <c r="B20" s="188" t="s">
        <v>1160</v>
      </c>
      <c r="C20" s="189">
        <v>529.0</v>
      </c>
      <c r="D20" s="228"/>
      <c r="E20" s="209" t="s">
        <v>32</v>
      </c>
      <c r="F20" s="217" t="s">
        <v>41</v>
      </c>
      <c r="G20" s="193" t="s">
        <v>41</v>
      </c>
      <c r="H20" s="205" t="s">
        <v>1142</v>
      </c>
      <c r="I20" s="206" t="s">
        <v>1212</v>
      </c>
      <c r="J20" s="206"/>
      <c r="K20" s="225" t="s">
        <v>1213</v>
      </c>
      <c r="L20" s="197" t="s">
        <v>6</v>
      </c>
    </row>
    <row r="21" ht="22.5" customHeight="1">
      <c r="A21" s="231">
        <v>20.0</v>
      </c>
      <c r="B21" s="232" t="s">
        <v>1160</v>
      </c>
      <c r="C21" s="233">
        <v>535.0</v>
      </c>
      <c r="D21" s="234"/>
      <c r="E21" s="235" t="s">
        <v>41</v>
      </c>
      <c r="F21" s="236" t="s">
        <v>41</v>
      </c>
      <c r="G21" s="237" t="s">
        <v>41</v>
      </c>
      <c r="H21" s="205" t="s">
        <v>1142</v>
      </c>
      <c r="I21" s="206" t="s">
        <v>1212</v>
      </c>
      <c r="J21" s="206"/>
      <c r="K21" s="226" t="s">
        <v>1217</v>
      </c>
      <c r="L21" s="238" t="s">
        <v>6</v>
      </c>
    </row>
    <row r="22" ht="22.5" customHeight="1">
      <c r="A22" s="187">
        <v>21.0</v>
      </c>
      <c r="B22" s="239" t="s">
        <v>1218</v>
      </c>
      <c r="C22" s="240">
        <v>25.0</v>
      </c>
      <c r="D22" s="241"/>
      <c r="E22" s="242" t="s">
        <v>32</v>
      </c>
      <c r="F22" s="243" t="s">
        <v>32</v>
      </c>
      <c r="G22" s="244" t="s">
        <v>41</v>
      </c>
      <c r="H22" s="194" t="s">
        <v>1219</v>
      </c>
      <c r="I22" s="195" t="s">
        <v>1220</v>
      </c>
      <c r="J22" s="206"/>
      <c r="K22" s="207"/>
      <c r="L22" s="245"/>
    </row>
    <row r="23" ht="22.5" customHeight="1">
      <c r="A23" s="231">
        <v>22.0</v>
      </c>
      <c r="B23" s="239" t="s">
        <v>1221</v>
      </c>
      <c r="C23" s="240">
        <v>133.0</v>
      </c>
      <c r="D23" s="241"/>
      <c r="E23" s="242" t="s">
        <v>32</v>
      </c>
      <c r="F23" s="243" t="s">
        <v>41</v>
      </c>
      <c r="G23" s="244" t="s">
        <v>41</v>
      </c>
      <c r="H23" s="194" t="s">
        <v>1219</v>
      </c>
      <c r="I23" s="195" t="s">
        <v>1223</v>
      </c>
      <c r="J23" s="206"/>
      <c r="K23" s="207"/>
      <c r="L23" s="245"/>
    </row>
    <row r="24" ht="22.5" customHeight="1">
      <c r="A24" s="187">
        <v>23.0</v>
      </c>
      <c r="B24" s="239" t="s">
        <v>1160</v>
      </c>
      <c r="C24" s="240">
        <v>139.0</v>
      </c>
      <c r="D24" s="241"/>
      <c r="E24" s="242" t="s">
        <v>41</v>
      </c>
      <c r="F24" s="243" t="s">
        <v>41</v>
      </c>
      <c r="G24" s="244" t="s">
        <v>41</v>
      </c>
      <c r="H24" s="194" t="s">
        <v>1142</v>
      </c>
      <c r="I24" s="195" t="s">
        <v>1224</v>
      </c>
      <c r="J24" s="206"/>
      <c r="K24" s="207"/>
      <c r="L24" s="245"/>
    </row>
    <row r="25" ht="22.5" customHeight="1">
      <c r="A25" s="231">
        <v>24.0</v>
      </c>
      <c r="B25" s="239" t="s">
        <v>1160</v>
      </c>
      <c r="C25" s="240">
        <v>184.0</v>
      </c>
      <c r="D25" s="241"/>
      <c r="E25" s="242" t="s">
        <v>41</v>
      </c>
      <c r="F25" s="243" t="s">
        <v>41</v>
      </c>
      <c r="G25" s="244" t="s">
        <v>41</v>
      </c>
      <c r="H25" s="194" t="s">
        <v>1142</v>
      </c>
      <c r="I25" s="195" t="s">
        <v>1225</v>
      </c>
      <c r="J25" s="206"/>
      <c r="K25" s="207"/>
      <c r="L25" s="245"/>
    </row>
    <row r="26" ht="22.5" customHeight="1">
      <c r="A26" s="187">
        <v>25.0</v>
      </c>
      <c r="B26" s="239" t="s">
        <v>1175</v>
      </c>
      <c r="C26" s="240">
        <v>286.0</v>
      </c>
      <c r="D26" s="241"/>
      <c r="E26" s="242" t="s">
        <v>41</v>
      </c>
      <c r="F26" s="243" t="s">
        <v>41</v>
      </c>
      <c r="G26" s="244" t="s">
        <v>41</v>
      </c>
      <c r="H26" s="205"/>
      <c r="I26" s="195" t="s">
        <v>1228</v>
      </c>
      <c r="J26" s="206"/>
      <c r="K26" s="207"/>
      <c r="L26" s="245"/>
    </row>
    <row r="27" ht="22.5" customHeight="1">
      <c r="A27" s="231">
        <v>26.0</v>
      </c>
      <c r="B27" s="239" t="s">
        <v>1180</v>
      </c>
      <c r="C27" s="240">
        <v>447.0</v>
      </c>
      <c r="D27" s="241"/>
      <c r="E27" s="242" t="s">
        <v>32</v>
      </c>
      <c r="F27" s="243" t="s">
        <v>32</v>
      </c>
      <c r="G27" s="244" t="s">
        <v>41</v>
      </c>
      <c r="H27" s="205"/>
      <c r="I27" s="195" t="s">
        <v>1231</v>
      </c>
      <c r="J27" s="206"/>
      <c r="K27" s="207"/>
      <c r="L27" s="245"/>
    </row>
    <row r="28" ht="22.5" customHeight="1">
      <c r="A28" s="187">
        <v>27.0</v>
      </c>
      <c r="B28" s="239" t="s">
        <v>1221</v>
      </c>
      <c r="C28" s="240">
        <v>451.0</v>
      </c>
      <c r="D28" s="241"/>
      <c r="E28" s="242" t="s">
        <v>32</v>
      </c>
      <c r="F28" s="243" t="s">
        <v>32</v>
      </c>
      <c r="G28" s="244" t="s">
        <v>41</v>
      </c>
      <c r="H28" s="205"/>
      <c r="I28" s="195" t="s">
        <v>1232</v>
      </c>
      <c r="J28" s="206"/>
      <c r="K28" s="207"/>
      <c r="L28" s="245"/>
    </row>
    <row r="29" ht="22.5" customHeight="1">
      <c r="A29" s="231">
        <v>28.0</v>
      </c>
      <c r="B29" s="239" t="s">
        <v>1221</v>
      </c>
      <c r="C29" s="240">
        <v>484.0</v>
      </c>
      <c r="D29" s="241"/>
      <c r="E29" s="242" t="s">
        <v>32</v>
      </c>
      <c r="F29" s="243" t="s">
        <v>41</v>
      </c>
      <c r="G29" s="244" t="s">
        <v>41</v>
      </c>
      <c r="H29" s="194" t="s">
        <v>1219</v>
      </c>
      <c r="I29" s="195" t="s">
        <v>1233</v>
      </c>
      <c r="J29" s="206"/>
      <c r="K29" s="207"/>
      <c r="L29" s="245"/>
    </row>
    <row r="30" ht="22.5" customHeight="1">
      <c r="A30" s="187">
        <v>29.0</v>
      </c>
      <c r="B30" s="239" t="s">
        <v>148</v>
      </c>
      <c r="C30" s="240">
        <v>500.0</v>
      </c>
      <c r="D30" s="241"/>
      <c r="E30" s="242" t="s">
        <v>41</v>
      </c>
      <c r="F30" s="243" t="s">
        <v>41</v>
      </c>
      <c r="G30" s="244" t="s">
        <v>41</v>
      </c>
      <c r="H30" s="194" t="s">
        <v>1142</v>
      </c>
      <c r="I30" s="195" t="s">
        <v>1234</v>
      </c>
      <c r="J30" s="206"/>
      <c r="K30" s="207"/>
      <c r="L30" s="245"/>
    </row>
    <row r="31" ht="22.5" customHeight="1">
      <c r="A31" s="231">
        <v>30.0</v>
      </c>
      <c r="B31" s="232" t="s">
        <v>1160</v>
      </c>
      <c r="C31" s="240">
        <v>572.0</v>
      </c>
      <c r="D31" s="241"/>
      <c r="E31" s="242" t="s">
        <v>32</v>
      </c>
      <c r="F31" s="243" t="s">
        <v>41</v>
      </c>
      <c r="G31" s="244" t="s">
        <v>41</v>
      </c>
      <c r="H31" s="194" t="s">
        <v>1219</v>
      </c>
      <c r="I31" s="195" t="s">
        <v>1235</v>
      </c>
      <c r="J31" s="206"/>
      <c r="K31" s="207"/>
      <c r="L31" s="245"/>
    </row>
    <row r="32" ht="22.5" customHeight="1">
      <c r="A32" s="187">
        <v>31.0</v>
      </c>
      <c r="B32" s="232" t="s">
        <v>1160</v>
      </c>
      <c r="C32" s="240">
        <v>612.0</v>
      </c>
      <c r="D32" s="241"/>
      <c r="E32" s="242" t="s">
        <v>41</v>
      </c>
      <c r="F32" s="243" t="s">
        <v>41</v>
      </c>
      <c r="G32" s="244" t="s">
        <v>41</v>
      </c>
      <c r="H32" s="205"/>
      <c r="I32" s="195" t="s">
        <v>1239</v>
      </c>
      <c r="J32" s="206"/>
      <c r="K32" s="207"/>
      <c r="L32" s="245"/>
    </row>
    <row r="33" ht="22.5" customHeight="1">
      <c r="A33" s="231">
        <v>32.0</v>
      </c>
      <c r="B33" s="232" t="s">
        <v>1160</v>
      </c>
      <c r="C33" s="240">
        <v>684.0</v>
      </c>
      <c r="D33" s="241"/>
      <c r="E33" s="242" t="s">
        <v>41</v>
      </c>
      <c r="F33" s="243" t="s">
        <v>41</v>
      </c>
      <c r="G33" s="244" t="s">
        <v>41</v>
      </c>
      <c r="H33" s="205"/>
      <c r="I33" s="195" t="s">
        <v>1242</v>
      </c>
      <c r="J33" s="206"/>
      <c r="K33" s="207"/>
      <c r="L33" s="245"/>
    </row>
    <row r="34" ht="22.5" customHeight="1">
      <c r="A34" s="187">
        <v>33.0</v>
      </c>
      <c r="B34" s="232" t="s">
        <v>1160</v>
      </c>
      <c r="C34" s="240">
        <v>714.0</v>
      </c>
      <c r="D34" s="241"/>
      <c r="E34" s="242" t="s">
        <v>32</v>
      </c>
      <c r="F34" s="243" t="s">
        <v>32</v>
      </c>
      <c r="G34" s="244" t="s">
        <v>41</v>
      </c>
      <c r="H34" s="194" t="s">
        <v>1015</v>
      </c>
      <c r="I34" s="195" t="s">
        <v>1243</v>
      </c>
      <c r="J34" s="206"/>
      <c r="K34" s="207"/>
      <c r="L34" s="245"/>
    </row>
    <row r="35" ht="22.5" customHeight="1">
      <c r="A35" s="231">
        <v>34.0</v>
      </c>
      <c r="B35" s="239" t="s">
        <v>1244</v>
      </c>
      <c r="C35" s="240">
        <v>782.0</v>
      </c>
      <c r="D35" s="241"/>
      <c r="E35" s="242" t="s">
        <v>32</v>
      </c>
      <c r="F35" s="243" t="s">
        <v>41</v>
      </c>
      <c r="G35" s="244" t="s">
        <v>41</v>
      </c>
      <c r="H35" s="194" t="s">
        <v>1015</v>
      </c>
      <c r="I35" s="195" t="s">
        <v>1245</v>
      </c>
      <c r="J35" s="206"/>
      <c r="K35" s="207"/>
      <c r="L35" s="245"/>
    </row>
    <row r="36" ht="22.5" customHeight="1">
      <c r="A36" s="187">
        <v>35.0</v>
      </c>
      <c r="B36" s="232" t="s">
        <v>1160</v>
      </c>
      <c r="C36" s="240">
        <v>787.0</v>
      </c>
      <c r="D36" s="241"/>
      <c r="E36" s="242" t="s">
        <v>32</v>
      </c>
      <c r="F36" s="243" t="s">
        <v>41</v>
      </c>
      <c r="G36" s="244" t="s">
        <v>41</v>
      </c>
      <c r="H36" s="194" t="s">
        <v>1015</v>
      </c>
      <c r="I36" s="195" t="s">
        <v>1246</v>
      </c>
      <c r="J36" s="206"/>
      <c r="K36" s="207"/>
      <c r="L36" s="245"/>
    </row>
    <row r="37" ht="22.5" customHeight="1">
      <c r="A37" s="231">
        <v>36.0</v>
      </c>
      <c r="B37" s="239" t="s">
        <v>1175</v>
      </c>
      <c r="C37" s="240">
        <v>858.0</v>
      </c>
      <c r="D37" s="241"/>
      <c r="E37" s="242" t="s">
        <v>32</v>
      </c>
      <c r="F37" s="243" t="s">
        <v>41</v>
      </c>
      <c r="G37" s="244" t="s">
        <v>41</v>
      </c>
      <c r="H37" s="194" t="s">
        <v>1015</v>
      </c>
      <c r="I37" s="195" t="s">
        <v>1247</v>
      </c>
      <c r="J37" s="206"/>
      <c r="K37" s="207"/>
      <c r="L37" s="245"/>
    </row>
    <row r="38" ht="22.5" customHeight="1">
      <c r="A38" s="187">
        <v>37.0</v>
      </c>
      <c r="B38" s="239" t="s">
        <v>1160</v>
      </c>
      <c r="C38" s="240">
        <v>860.0</v>
      </c>
      <c r="D38" s="241"/>
      <c r="E38" s="242" t="s">
        <v>41</v>
      </c>
      <c r="F38" s="243" t="s">
        <v>41</v>
      </c>
      <c r="G38" s="244" t="s">
        <v>41</v>
      </c>
      <c r="H38" s="194" t="s">
        <v>1142</v>
      </c>
      <c r="I38" s="195" t="s">
        <v>1250</v>
      </c>
      <c r="J38" s="206"/>
      <c r="K38" s="207"/>
      <c r="L38" s="245"/>
    </row>
    <row r="39" ht="22.5" customHeight="1">
      <c r="A39" s="231">
        <v>38.0</v>
      </c>
      <c r="B39" s="239" t="s">
        <v>187</v>
      </c>
      <c r="C39" s="240">
        <v>880.0</v>
      </c>
      <c r="D39" s="241"/>
      <c r="E39" s="242" t="s">
        <v>32</v>
      </c>
      <c r="F39" s="243" t="s">
        <v>41</v>
      </c>
      <c r="G39" s="244" t="s">
        <v>41</v>
      </c>
      <c r="H39" s="194" t="s">
        <v>1015</v>
      </c>
      <c r="I39" s="195" t="s">
        <v>1254</v>
      </c>
      <c r="J39" s="206"/>
      <c r="K39" s="207"/>
      <c r="L39" s="245"/>
    </row>
    <row r="40" ht="22.5" customHeight="1">
      <c r="A40" s="187">
        <v>39.0</v>
      </c>
      <c r="B40" s="239" t="s">
        <v>1244</v>
      </c>
      <c r="C40" s="240">
        <v>971.0</v>
      </c>
      <c r="D40" s="241"/>
      <c r="E40" s="242" t="s">
        <v>41</v>
      </c>
      <c r="F40" s="243" t="s">
        <v>41</v>
      </c>
      <c r="G40" s="244" t="s">
        <v>41</v>
      </c>
      <c r="H40" s="194" t="s">
        <v>1142</v>
      </c>
      <c r="I40" s="195" t="s">
        <v>1257</v>
      </c>
      <c r="J40" s="206"/>
      <c r="K40" s="207"/>
      <c r="L40" s="245"/>
    </row>
    <row r="41" ht="22.5" customHeight="1">
      <c r="A41" s="231">
        <v>40.0</v>
      </c>
      <c r="B41" s="239" t="s">
        <v>1258</v>
      </c>
      <c r="C41" s="240">
        <v>973.0</v>
      </c>
      <c r="D41" s="241"/>
      <c r="E41" s="242" t="s">
        <v>41</v>
      </c>
      <c r="F41" s="243" t="s">
        <v>41</v>
      </c>
      <c r="G41" s="244" t="s">
        <v>41</v>
      </c>
      <c r="H41" s="194" t="s">
        <v>1142</v>
      </c>
      <c r="I41" s="195" t="s">
        <v>1259</v>
      </c>
      <c r="J41" s="206"/>
      <c r="K41" s="207"/>
      <c r="L41" s="245"/>
    </row>
    <row r="42" ht="22.5" customHeight="1">
      <c r="A42" s="187">
        <v>41.0</v>
      </c>
      <c r="B42" s="239" t="s">
        <v>1260</v>
      </c>
      <c r="C42" s="240">
        <v>983.0</v>
      </c>
      <c r="D42" s="241"/>
      <c r="E42" s="242" t="s">
        <v>41</v>
      </c>
      <c r="F42" s="243" t="s">
        <v>41</v>
      </c>
      <c r="G42" s="244" t="s">
        <v>41</v>
      </c>
      <c r="H42" s="194"/>
      <c r="I42" s="195" t="s">
        <v>1261</v>
      </c>
      <c r="J42" s="206"/>
      <c r="K42" s="207"/>
      <c r="L42" s="245"/>
    </row>
    <row r="43" ht="22.5" customHeight="1">
      <c r="A43" s="231">
        <v>42.0</v>
      </c>
      <c r="B43" s="239" t="s">
        <v>1160</v>
      </c>
      <c r="C43" s="240">
        <v>984.0</v>
      </c>
      <c r="D43" s="241"/>
      <c r="E43" s="242" t="s">
        <v>41</v>
      </c>
      <c r="F43" s="243" t="s">
        <v>41</v>
      </c>
      <c r="G43" s="244" t="s">
        <v>41</v>
      </c>
      <c r="H43" s="194"/>
      <c r="I43" s="195" t="s">
        <v>1264</v>
      </c>
      <c r="J43" s="206"/>
      <c r="K43" s="207"/>
      <c r="L43" s="245"/>
    </row>
    <row r="44" ht="22.5" customHeight="1">
      <c r="A44" s="187">
        <v>43.0</v>
      </c>
      <c r="B44" s="239" t="s">
        <v>187</v>
      </c>
      <c r="C44" s="240">
        <v>999.0</v>
      </c>
      <c r="D44" s="241"/>
      <c r="E44" s="242" t="s">
        <v>32</v>
      </c>
      <c r="F44" s="243" t="s">
        <v>41</v>
      </c>
      <c r="G44" s="244" t="s">
        <v>41</v>
      </c>
      <c r="H44" s="194"/>
      <c r="I44" s="195" t="s">
        <v>1199</v>
      </c>
      <c r="J44" s="206"/>
      <c r="K44" s="207"/>
      <c r="L44" s="245"/>
    </row>
    <row r="45" ht="22.5" customHeight="1">
      <c r="A45" s="231">
        <v>44.0</v>
      </c>
      <c r="B45" s="239" t="s">
        <v>1160</v>
      </c>
      <c r="C45" s="240">
        <v>1005.0</v>
      </c>
      <c r="D45" s="241"/>
      <c r="E45" s="242" t="s">
        <v>41</v>
      </c>
      <c r="F45" s="243" t="s">
        <v>41</v>
      </c>
      <c r="G45" s="244" t="s">
        <v>41</v>
      </c>
      <c r="H45" s="194"/>
      <c r="I45" s="195" t="s">
        <v>1267</v>
      </c>
      <c r="J45" s="206"/>
      <c r="K45" s="207"/>
      <c r="L45" s="245"/>
    </row>
    <row r="46" ht="22.5" customHeight="1">
      <c r="A46" s="187">
        <v>45.0</v>
      </c>
      <c r="B46" s="239" t="s">
        <v>1221</v>
      </c>
      <c r="C46" s="240">
        <v>1011.0</v>
      </c>
      <c r="D46" s="241"/>
      <c r="E46" s="242" t="s">
        <v>32</v>
      </c>
      <c r="F46" s="243" t="s">
        <v>41</v>
      </c>
      <c r="G46" s="244" t="s">
        <v>41</v>
      </c>
      <c r="H46" s="194"/>
      <c r="I46" s="195" t="s">
        <v>1270</v>
      </c>
      <c r="J46" s="206"/>
      <c r="K46" s="207"/>
      <c r="L46" s="245"/>
    </row>
    <row r="47" ht="22.5" customHeight="1">
      <c r="A47" s="231">
        <v>46.0</v>
      </c>
      <c r="B47" s="239" t="s">
        <v>1271</v>
      </c>
      <c r="C47" s="240">
        <v>1057.0</v>
      </c>
      <c r="D47" s="241"/>
      <c r="E47" s="242" t="s">
        <v>32</v>
      </c>
      <c r="F47" s="243" t="s">
        <v>41</v>
      </c>
      <c r="G47" s="244" t="s">
        <v>41</v>
      </c>
      <c r="H47" s="194"/>
      <c r="I47" s="195" t="s">
        <v>1272</v>
      </c>
      <c r="J47" s="206"/>
      <c r="K47" s="207"/>
      <c r="L47" s="245"/>
    </row>
    <row r="48" ht="22.5" customHeight="1">
      <c r="A48" s="187">
        <v>47.0</v>
      </c>
      <c r="B48" s="118" t="s">
        <v>1221</v>
      </c>
      <c r="C48" s="248">
        <v>1080.0</v>
      </c>
      <c r="D48" s="249"/>
      <c r="E48" s="242" t="s">
        <v>41</v>
      </c>
      <c r="F48" s="243" t="s">
        <v>41</v>
      </c>
      <c r="G48" s="244" t="s">
        <v>41</v>
      </c>
      <c r="H48" s="194"/>
      <c r="I48" s="195" t="s">
        <v>1273</v>
      </c>
      <c r="J48" s="206"/>
      <c r="K48" s="207"/>
      <c r="L48" s="245"/>
    </row>
    <row r="49" ht="22.5" customHeight="1">
      <c r="A49" s="231">
        <v>48.0</v>
      </c>
      <c r="B49" s="118" t="s">
        <v>1221</v>
      </c>
      <c r="C49" s="240">
        <v>1115.0</v>
      </c>
      <c r="D49" s="241"/>
      <c r="E49" s="242" t="s">
        <v>41</v>
      </c>
      <c r="F49" s="243" t="s">
        <v>41</v>
      </c>
      <c r="G49" s="244" t="s">
        <v>41</v>
      </c>
      <c r="H49" s="194"/>
      <c r="I49" s="195" t="s">
        <v>1276</v>
      </c>
      <c r="J49" s="206"/>
      <c r="K49" s="207"/>
      <c r="L49" s="245"/>
    </row>
    <row r="50" ht="22.5" customHeight="1">
      <c r="A50" s="187">
        <v>49.0</v>
      </c>
      <c r="B50" s="239" t="s">
        <v>1020</v>
      </c>
      <c r="C50" s="240">
        <v>1126.0</v>
      </c>
      <c r="D50" s="241"/>
      <c r="E50" s="242" t="s">
        <v>32</v>
      </c>
      <c r="F50" s="243" t="s">
        <v>32</v>
      </c>
      <c r="G50" s="244" t="s">
        <v>32</v>
      </c>
      <c r="H50" s="194"/>
      <c r="I50" s="195" t="s">
        <v>1199</v>
      </c>
      <c r="J50" s="206"/>
      <c r="K50" s="207"/>
      <c r="L50" s="245"/>
    </row>
    <row r="51" ht="22.5" customHeight="1">
      <c r="A51" s="231">
        <v>50.0</v>
      </c>
      <c r="B51" s="239" t="s">
        <v>1244</v>
      </c>
      <c r="C51" s="240">
        <v>1191.0</v>
      </c>
      <c r="D51" s="241"/>
      <c r="E51" s="242" t="s">
        <v>32</v>
      </c>
      <c r="F51" s="243" t="s">
        <v>32</v>
      </c>
      <c r="G51" s="244" t="s">
        <v>41</v>
      </c>
      <c r="H51" s="194"/>
      <c r="I51" s="195" t="s">
        <v>1199</v>
      </c>
      <c r="J51" s="206"/>
      <c r="K51" s="207"/>
      <c r="L51" s="245"/>
    </row>
    <row r="52" ht="22.5" customHeight="1">
      <c r="A52" s="187">
        <v>51.0</v>
      </c>
      <c r="B52" s="188" t="s">
        <v>128</v>
      </c>
      <c r="C52" s="240">
        <v>1232.0</v>
      </c>
      <c r="D52" s="241"/>
      <c r="E52" s="242" t="s">
        <v>32</v>
      </c>
      <c r="F52" s="243" t="s">
        <v>32</v>
      </c>
      <c r="G52" s="244" t="s">
        <v>41</v>
      </c>
      <c r="H52" s="194"/>
      <c r="I52" s="195" t="s">
        <v>1199</v>
      </c>
      <c r="J52" s="206"/>
      <c r="K52" s="207"/>
      <c r="L52" s="245"/>
    </row>
    <row r="53" ht="22.5" customHeight="1">
      <c r="A53" s="231">
        <v>52.0</v>
      </c>
      <c r="B53" s="239" t="s">
        <v>1244</v>
      </c>
      <c r="C53" s="240">
        <v>1238.0</v>
      </c>
      <c r="D53" s="241"/>
      <c r="E53" s="242" t="s">
        <v>32</v>
      </c>
      <c r="F53" s="243" t="s">
        <v>41</v>
      </c>
      <c r="G53" s="244" t="s">
        <v>41</v>
      </c>
      <c r="H53" s="194"/>
      <c r="I53" s="195" t="s">
        <v>1277</v>
      </c>
      <c r="J53" s="206"/>
      <c r="K53" s="207"/>
      <c r="L53" s="245"/>
    </row>
    <row r="54" ht="22.5" customHeight="1">
      <c r="A54" s="187">
        <v>53.0</v>
      </c>
      <c r="B54" s="239" t="s">
        <v>1191</v>
      </c>
      <c r="C54" s="240">
        <v>1251.0</v>
      </c>
      <c r="D54" s="241"/>
      <c r="E54" s="242" t="s">
        <v>32</v>
      </c>
      <c r="F54" s="243" t="s">
        <v>41</v>
      </c>
      <c r="G54" s="244" t="s">
        <v>41</v>
      </c>
      <c r="H54" s="194"/>
      <c r="I54" s="195" t="s">
        <v>1278</v>
      </c>
      <c r="J54" s="206"/>
      <c r="K54" s="207"/>
      <c r="L54" s="245"/>
    </row>
    <row r="55" ht="22.5" customHeight="1">
      <c r="A55" s="231">
        <v>54.0</v>
      </c>
      <c r="B55" s="239" t="s">
        <v>1244</v>
      </c>
      <c r="C55" s="240">
        <v>1255.0</v>
      </c>
      <c r="D55" s="241"/>
      <c r="E55" s="242" t="s">
        <v>32</v>
      </c>
      <c r="F55" s="243" t="s">
        <v>32</v>
      </c>
      <c r="G55" s="244" t="s">
        <v>41</v>
      </c>
      <c r="H55" s="194"/>
      <c r="I55" s="195" t="s">
        <v>1279</v>
      </c>
      <c r="J55" s="206"/>
      <c r="K55" s="207"/>
      <c r="L55" s="245"/>
    </row>
    <row r="56" ht="22.5" customHeight="1">
      <c r="A56" s="187">
        <v>55.0</v>
      </c>
      <c r="B56" s="118" t="s">
        <v>1221</v>
      </c>
      <c r="C56" s="240">
        <v>1265.0</v>
      </c>
      <c r="D56" s="241"/>
      <c r="E56" s="242" t="s">
        <v>41</v>
      </c>
      <c r="F56" s="243" t="s">
        <v>41</v>
      </c>
      <c r="G56" s="244" t="s">
        <v>41</v>
      </c>
      <c r="H56" s="194"/>
      <c r="I56" s="195" t="s">
        <v>1280</v>
      </c>
      <c r="J56" s="206"/>
      <c r="K56" s="207"/>
      <c r="L56" s="245"/>
    </row>
    <row r="57" ht="22.5" customHeight="1">
      <c r="A57" s="231">
        <v>56.0</v>
      </c>
      <c r="B57" s="118" t="s">
        <v>1221</v>
      </c>
      <c r="C57" s="240">
        <v>1330.0</v>
      </c>
      <c r="D57" s="241"/>
      <c r="E57" s="242" t="s">
        <v>32</v>
      </c>
      <c r="F57" s="243" t="s">
        <v>32</v>
      </c>
      <c r="G57" s="244" t="s">
        <v>41</v>
      </c>
      <c r="H57" s="194"/>
      <c r="I57" s="195" t="s">
        <v>1293</v>
      </c>
      <c r="J57" s="206"/>
      <c r="K57" s="207"/>
      <c r="L57" s="245"/>
    </row>
    <row r="58" ht="22.5" customHeight="1">
      <c r="A58" s="187">
        <v>57.0</v>
      </c>
      <c r="B58" s="118" t="s">
        <v>112</v>
      </c>
      <c r="C58" s="240">
        <v>209.0</v>
      </c>
      <c r="D58" s="241"/>
      <c r="E58" s="242" t="s">
        <v>32</v>
      </c>
      <c r="F58" s="243" t="s">
        <v>32</v>
      </c>
      <c r="G58" s="244" t="s">
        <v>32</v>
      </c>
      <c r="H58" s="194"/>
      <c r="I58" s="195"/>
      <c r="J58" s="206"/>
      <c r="K58" s="207"/>
      <c r="L58" s="245"/>
    </row>
    <row r="59" ht="22.5" customHeight="1">
      <c r="A59" s="231">
        <v>58.0</v>
      </c>
      <c r="B59" s="188" t="s">
        <v>128</v>
      </c>
      <c r="C59" s="240">
        <v>1410.0</v>
      </c>
      <c r="D59" s="241"/>
      <c r="E59" s="242" t="s">
        <v>41</v>
      </c>
      <c r="F59" s="243" t="s">
        <v>41</v>
      </c>
      <c r="G59" s="244" t="s">
        <v>41</v>
      </c>
      <c r="H59" s="194"/>
      <c r="I59" s="195"/>
      <c r="J59" s="206"/>
      <c r="K59" s="207"/>
      <c r="L59" s="245"/>
    </row>
    <row r="60" ht="22.5" customHeight="1">
      <c r="A60" s="187">
        <v>59.0</v>
      </c>
      <c r="B60" s="188" t="s">
        <v>128</v>
      </c>
      <c r="C60" s="240">
        <v>799.0</v>
      </c>
      <c r="D60" s="241"/>
      <c r="E60" s="242" t="s">
        <v>32</v>
      </c>
      <c r="F60" s="243" t="s">
        <v>32</v>
      </c>
      <c r="G60" s="244" t="s">
        <v>41</v>
      </c>
      <c r="H60" s="194"/>
      <c r="I60" s="195" t="s">
        <v>1294</v>
      </c>
      <c r="J60" s="206"/>
      <c r="K60" s="207"/>
      <c r="L60" s="245"/>
    </row>
    <row r="61" ht="22.5" customHeight="1">
      <c r="A61" s="231">
        <v>60.0</v>
      </c>
      <c r="B61" s="118" t="s">
        <v>112</v>
      </c>
      <c r="C61" s="240">
        <v>81.0</v>
      </c>
      <c r="D61" s="241"/>
      <c r="E61" s="242"/>
      <c r="F61" s="243"/>
      <c r="G61" s="244"/>
      <c r="H61" s="194"/>
      <c r="I61" s="195"/>
      <c r="J61" s="206"/>
      <c r="K61" s="207"/>
      <c r="L61" s="245"/>
    </row>
    <row r="63">
      <c r="B63" s="257" t="s">
        <v>1295</v>
      </c>
      <c r="C63" s="72">
        <f>COUNTIF('List of Issues'!$E$2:$E$61, "Y")</f>
        <v>40</v>
      </c>
      <c r="D63" s="72"/>
      <c r="E63" s="51">
        <f t="shared" ref="E63:E65" si="1">C63/60</f>
        <v>0.6666666667</v>
      </c>
    </row>
    <row r="64">
      <c r="B64" s="257" t="s">
        <v>1015</v>
      </c>
      <c r="C64" s="72">
        <f>COUNTIF('List of Issues'!$F$2:$F$61, "Y")</f>
        <v>19</v>
      </c>
      <c r="D64" s="72"/>
      <c r="E64" s="51">
        <f t="shared" si="1"/>
        <v>0.3166666667</v>
      </c>
      <c r="I64" s="5" t="s">
        <v>1296</v>
      </c>
    </row>
    <row r="65">
      <c r="B65" s="258" t="s">
        <v>1123</v>
      </c>
      <c r="C65" s="72">
        <f>COUNTIF('List of Issues'!$G$2:$G$61, "Y")</f>
        <v>3</v>
      </c>
      <c r="D65" s="72"/>
      <c r="E65" s="51">
        <f t="shared" si="1"/>
        <v>0.05</v>
      </c>
      <c r="I65" s="2" t="s">
        <v>1297</v>
      </c>
    </row>
    <row r="66">
      <c r="I66" s="2" t="s">
        <v>1298</v>
      </c>
    </row>
  </sheetData>
  <dataValidations>
    <dataValidation type="list" allowBlank="1" showDropDown="1" showErrorMessage="1" sqref="E2:E61">
      <formula1>"Y,N"</formula1>
    </dataValidation>
    <dataValidation type="list" allowBlank="1" showDropDown="1" showErrorMessage="1" sqref="F2:F61">
      <formula1>"Y,N"</formula1>
    </dataValidation>
    <dataValidation type="custom" allowBlank="1" showDropDown="1" sqref="A2:A61 C2:C61">
      <formula1>AND(ISNUMBER(A2),(NOT(OR(NOT(ISERROR(DATEVALUE(A2))), AND(ISNUMBER(A2), LEFT(CELL("format", A2))="D")))))</formula1>
    </dataValidation>
    <dataValidation type="list" allowBlank="1" showDropDown="1" showErrorMessage="1" sqref="G2:G61">
      <formula1>"Y,N"</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2026-01-11T16:25:19Z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1033-6.9.0.8865</vt:lpwstr>
  </property>
  <property fmtid="{D5CDD505-2E9C-101B-9397-08002B2CF9AE}" pid="3" name="ICV">
    <vt:lpwstr>74BB613D13AF3D05474E6469B8209F09_43</vt:lpwstr>
  </property>
</Properties>
</file>